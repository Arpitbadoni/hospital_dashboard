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729de9f1a9611832/Documents/"/>
    </mc:Choice>
  </mc:AlternateContent>
  <xr:revisionPtr revIDLastSave="4" documentId="8_{5BE883FF-F96C-4324-8DE7-99E73A68F6B5}" xr6:coauthVersionLast="47" xr6:coauthVersionMax="47" xr10:uidLastSave="{B5F1C3C6-9E90-4F64-911A-E46BD494A810}"/>
  <bookViews>
    <workbookView xWindow="-108" yWindow="-108" windowWidth="23256" windowHeight="12456" activeTab="1" xr2:uid="{0D4621F3-8A8D-4C74-89FA-66790B4F6DCA}"/>
  </bookViews>
  <sheets>
    <sheet name="Pivot Report" sheetId="1" r:id="rId1"/>
    <sheet name="Dashboard" sheetId="2" r:id="rId2"/>
    <sheet name="Daily ER No of Patient" sheetId="3" r:id="rId3"/>
    <sheet name="Average wait time dailt trends" sheetId="4" r:id="rId4"/>
    <sheet name="Satisfaction score daily trends" sheetId="5" r:id="rId5"/>
  </sheets>
  <definedNames>
    <definedName name="Slicer_Date__Month">#N/A</definedName>
    <definedName name="Slicer_Date__Year">#N/A</definedName>
  </definedNames>
  <calcPr calcId="191029"/>
  <pivotCaches>
    <pivotCache cacheId="123" r:id="rId6"/>
    <pivotCache cacheId="126" r:id="rId7"/>
    <pivotCache cacheId="129" r:id="rId8"/>
    <pivotCache cacheId="132" r:id="rId9"/>
    <pivotCache cacheId="135" r:id="rId10"/>
    <pivotCache cacheId="138" r:id="rId11"/>
    <pivotCache cacheId="141" r:id="rId12"/>
    <pivotCache cacheId="144" r:id="rId13"/>
    <pivotCache cacheId="147" r:id="rId14"/>
    <pivotCache cacheId="150" r:id="rId15"/>
    <pivotCache cacheId="153" r:id="rId16"/>
    <pivotCache cacheId="156" r:id="rId17"/>
  </pivotCaches>
  <fileRecoveryPr repairLoad="1"/>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29633f34-e92e-41a8-a7ee-a75539edde1f" name="Hospital Emergency Room Data" connection="Query - Hospital Emergency Room Data"/>
          <x15:modelTable id="Calender_Table_aaf3ec69-9e90-4f91-94a4-007456a7a3aa"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7" i="1" l="1"/>
  <c r="B47" i="1"/>
  <c r="A47" i="1"/>
  <c r="C46" i="1"/>
  <c r="B46" i="1"/>
  <c r="A4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E27AE2-C0BD-4688-85E7-301B6329DE04}" name="Query - Calender_Table" description="Connection to the 'Calender_Table' query in the workbook." type="100" refreshedVersion="8" minRefreshableVersion="5">
    <extLst>
      <ext xmlns:x15="http://schemas.microsoft.com/office/spreadsheetml/2010/11/main" uri="{DE250136-89BD-433C-8126-D09CA5730AF9}">
        <x15:connection id="7c757fe1-0054-4992-9492-83aa7be71c59"/>
      </ext>
    </extLst>
  </connection>
  <connection id="2" xr16:uid="{FA020DD6-9DE2-4F4A-A4E3-FB871433311C}"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408bfd9d-d9e9-4484-83d2-9a582b9c7b99"/>
      </ext>
    </extLst>
  </connection>
  <connection id="3" xr16:uid="{8BAB99E3-3F90-4A2F-895B-BC0B10ADD42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<sst xmlns="http://schemas.openxmlformats.org/spreadsheetml/2006/main" count="158" uniqueCount="76">
  <si>
    <t>Distinct Count of Patient Id</t>
  </si>
  <si>
    <t>No.of patients</t>
  </si>
  <si>
    <t>Average of Patient Waittime</t>
  </si>
  <si>
    <t>Average of Patient Satisfaction Score</t>
  </si>
  <si>
    <t xml:space="preserve"> </t>
  </si>
  <si>
    <t>Row Labels</t>
  </si>
  <si>
    <t>Grand Total</t>
  </si>
  <si>
    <t>daily trends of no of patients</t>
  </si>
  <si>
    <t xml:space="preserve">average wait time </t>
  </si>
  <si>
    <t>satisfaction score daily trends</t>
  </si>
  <si>
    <t>Count of Patient Admission Flag</t>
  </si>
  <si>
    <t>Admitted</t>
  </si>
  <si>
    <t>Not Admitted</t>
  </si>
  <si>
    <t>Count of Patient Admission Flag2</t>
  </si>
  <si>
    <t>Admission Status</t>
  </si>
  <si>
    <t>%Status</t>
  </si>
  <si>
    <t>No. of Patient</t>
  </si>
  <si>
    <t>attendent status</t>
  </si>
  <si>
    <t>Delay</t>
  </si>
  <si>
    <t>Ontime</t>
  </si>
  <si>
    <t>Count of Patient Attend Status</t>
  </si>
  <si>
    <t>age group</t>
  </si>
  <si>
    <t>0-09</t>
  </si>
  <si>
    <t>10-19</t>
  </si>
  <si>
    <t>20-29</t>
  </si>
  <si>
    <t>30-39</t>
  </si>
  <si>
    <t>40-49</t>
  </si>
  <si>
    <t>50-59</t>
  </si>
  <si>
    <t>60-69</t>
  </si>
  <si>
    <t>70-79</t>
  </si>
  <si>
    <t>Count of Age Group</t>
  </si>
  <si>
    <t>Female</t>
  </si>
  <si>
    <t>Male</t>
  </si>
  <si>
    <t>Count of Patient Gender</t>
  </si>
  <si>
    <t>gender wise analysis</t>
  </si>
  <si>
    <t>Cardiology</t>
  </si>
  <si>
    <t>Gastroenterology</t>
  </si>
  <si>
    <t>General Practice</t>
  </si>
  <si>
    <t>Neurology</t>
  </si>
  <si>
    <t>None</t>
  </si>
  <si>
    <t>Orthopedics</t>
  </si>
  <si>
    <t>Physiotherapy</t>
  </si>
  <si>
    <t>Renal</t>
  </si>
  <si>
    <t>Count of Department Referral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</si>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</sst>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Calibri"/>
      <family val="2"/>
      <scheme val="minor"/>
    </font>
    <font>
      <sz val="11"/>
      <color theme="4" tint="-0.499984740745262"/>
      <name val="Calibri"/>
      <family val="2"/>
      <scheme val="minor"/>
    </font>
    <font>
      <sz val="9"/>
      <color theme="1"/>
      <name val="Calibri"/>
      <family val="2"/>
      <scheme val="minor"/>
    </font>
    <font>
      <sz val="11"/>
      <color theme="1"/>
      <name val="Calibri"/>
      <family val="2"/>
      <scheme val="minor"/>
    </font>
    <font>
      <sz val="11"/>
      <color theme="0"/>
      <name val="Calibri"/>
      <family val="2"/>
      <scheme val="minor"/>
    </font>
    <font>
      <b/>
      <sz val="11"/>
      <color theme="0"/>
      <name val="Calibri"/>
      <family val="2"/>
      <scheme val="minor"/>
    </font>
    <font>
      <b/>
      <sz val="11"/>
      <color theme="1"/>
      <name val="Calibri"/>
      <family val="2"/>
      <scheme val="minor"/>
    </font>
    <font>
      <b/>
      <sz val="11"/>
      <color theme="4" tint="-0.499984740745262"/>
      <name val="Calibri"/>
      <family val="2"/>
      <scheme val="minor"/>
    </font>
  </fonts>
  <fills count="5">
    <fill>
      <patternFill patternType="none"/>
    </fill>
    <fill>
      <patternFill patternType="gray125"/>
    </fill>
    <fill>
      <patternFill patternType="solid">
        <fgColor theme="4" tint="-0.499984740745262"/>
        <bgColor indexed="64"/>
      </patternFill>
    </fill>
    <fill>
      <patternFill patternType="solid">
        <fgColor theme="0"/>
        <bgColor indexed="64"/>
      </patternFill>
    </fill>
    <fill>
      <patternFill patternType="solid">
        <fgColor theme="4" tint="-0.249977111117893"/>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9">
    <xf numFmtId="0" fontId="0" fillId="0" borderId="0" xfId="0"/>
    <xf numFmtId="2" fontId="0" fillId="0" borderId="0" xfId="0" applyNumberFormat="1"/>
    <xf numFmtId="0" fontId="1" fillId="2" borderId="0" xfId="0" applyFont="1" applyFill="1"/>
    <xf numFmtId="0" fontId="0" fillId="0" borderId="0" xfId="0" pivotButton="1"/>
    <xf numFmtId="0" fontId="0" fillId="0" borderId="0" xfId="0" applyAlignment="1">
      <alignment horizontal="left"/>
    </xf>
    <xf numFmtId="0" fontId="0" fillId="3" borderId="0" xfId="0" applyFill="1"/>
    <xf numFmtId="0" fontId="2" fillId="3" borderId="0" xfId="0" applyFont="1" applyFill="1"/>
    <xf numFmtId="10" fontId="0" fillId="0" borderId="0" xfId="0" applyNumberFormat="1"/>
    <xf numFmtId="0" fontId="4" fillId="4" borderId="0" xfId="0" applyFont="1" applyFill="1"/>
    <xf numFmtId="0" fontId="4" fillId="0" borderId="0" xfId="0" applyFont="1"/>
    <xf numFmtId="1" fontId="0" fillId="0" borderId="0" xfId="0" applyNumberFormat="1"/>
    <xf numFmtId="0" fontId="1" fillId="2" borderId="0" xfId="0" applyFont="1" applyFill="1" applyAlignment="1">
      <alignment horizontal="center" vertical="top"/>
    </xf>
    <xf numFmtId="0" fontId="6" fillId="0" borderId="0" xfId="0" applyFont="1"/>
    <xf numFmtId="0" fontId="5" fillId="4" borderId="0" xfId="0" applyFont="1" applyFill="1" applyAlignment="1">
      <alignment horizontal="center"/>
    </xf>
    <xf numFmtId="0" fontId="7" fillId="0" borderId="0" xfId="0" applyFont="1"/>
    <xf numFmtId="0" fontId="7" fillId="3" borderId="0" xfId="0" applyFont="1" applyFill="1" applyAlignment="1">
      <alignment horizontal="center"/>
    </xf>
    <xf numFmtId="9" fontId="7" fillId="3" borderId="0" xfId="1" applyFont="1" applyFill="1" applyAlignment="1">
      <alignment horizontal="center"/>
    </xf>
    <xf numFmtId="0" fontId="0" fillId="0" borderId="0" xfId="0" applyNumberFormat="1"/>
    <xf numFmtId="0" fontId="1" fillId="0" borderId="0" xfId="0" applyFont="1" applyFill="1"/>
  </cellXfs>
  <cellStyles count="2">
    <cellStyle name="Normal" xfId="0" builtinId="0"/>
    <cellStyle name="Percent" xfId="1" builtinId="5"/>
  </cellStyles>
  <dxfs count="94">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font>
        <b/>
        <color theme="1"/>
      </font>
      <border>
        <bottom style="thin">
          <color rgb="FF4F81BD"/>
        </bottom>
        <vertical/>
        <horizontal/>
      </border>
    </dxf>
    <dxf>
      <font>
        <b/>
        <i val="0"/>
        <sz val="7"/>
        <color theme="1"/>
      </font>
      <fill>
        <patternFill patternType="solid">
          <fgColor indexed="64"/>
          <bgColor theme="0"/>
        </patternFill>
      </fill>
      <border diagonalUp="0" diagonalDown="0">
        <left/>
        <right/>
        <top/>
        <bottom/>
        <vertical/>
        <horizontal/>
      </border>
    </dxf>
    <dxf>
      <font>
        <b/>
        <color theme="1"/>
      </font>
      <border>
        <bottom style="thin">
          <color theme="6"/>
        </bottom>
        <vertical/>
        <horizontal/>
      </border>
    </dxf>
    <dxf>
      <font>
        <sz val="7"/>
        <color theme="4" tint="-0.24994659260841701"/>
        <name val="Calibri Light"/>
        <family val="2"/>
        <scheme val="major"/>
      </font>
      <fill>
        <patternFill>
          <fgColor theme="4" tint="-0.24994659260841701"/>
          <bgColor theme="0"/>
        </patternFill>
      </fill>
      <border diagonalUp="0" diagonalDown="0">
        <left/>
        <right/>
        <top/>
        <bottom/>
        <vertical/>
        <horizontal/>
      </border>
    </dxf>
  </dxfs>
  <tableStyles count="2" defaultTableStyle="TableStyleMedium2" defaultPivotStyle="PivotStyleLight16">
    <tableStyle name="mystyle" pivot="0" table="0" count="10" xr9:uid="{1F115E7C-B0CF-4554-8E6B-F939EA6DC44A}">
      <tableStyleElement type="wholeTable" dxfId="93"/>
      <tableStyleElement type="headerRow" dxfId="92"/>
    </tableStyle>
    <tableStyle name="mystyle2" pivot="0" table="0" count="10" xr9:uid="{EB0B4403-B73D-47C7-8B0A-1A7328D1307A}">
      <tableStyleElement type="wholeTable" dxfId="91"/>
      <tableStyleElement type="headerRow" dxfId="90"/>
    </tableStyle>
  </tableStyles>
  <extLst>
    <ext xmlns:x14="http://schemas.microsoft.com/office/spreadsheetml/2009/9/main" uri="{46F421CA-312F-682f-3DD2-61675219B42D}">
      <x14:dxfs count="16">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style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Report!PivotTable7</c:name>
    <c:fmtId val="0"/>
  </c:pivotSource>
  <c:chart>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lumMod val="75000"/>
            </a:schemeClr>
          </a:solidFill>
          <a:ln>
            <a:noFill/>
          </a:ln>
          <a:effectLst/>
        </c:spPr>
        <c:dLbl>
          <c:idx val="0"/>
          <c:tx>
            <c:rich>
              <a:bodyPr rot="0" spcFirstLastPara="1" vertOverflow="ellipsis" vert="horz" wrap="none" lIns="38100" tIns="19050" rIns="38100" bIns="19050" anchor="ctr" anchorCtr="1">
                <a:spAutoFit/>
              </a:bodyPr>
              <a:lstStyle/>
              <a:p>
                <a:pPr>
                  <a:defRPr sz="700" b="1" i="0" u="none" strike="noStrike" kern="1200" baseline="0">
                    <a:solidFill>
                      <a:schemeClr val="accent1">
                        <a:lumMod val="50000"/>
                      </a:schemeClr>
                    </a:solidFill>
                    <a:latin typeface="+mn-lt"/>
                    <a:ea typeface="+mn-ea"/>
                    <a:cs typeface="+mn-cs"/>
                  </a:defRPr>
                </a:pPr>
                <a:fld id="{69389190-090D-41C9-9D28-E7799D38CF70}" type="CELLRANGE">
                  <a:rPr lang="en-US" b="1">
                    <a:solidFill>
                      <a:schemeClr val="accent1">
                        <a:lumMod val="50000"/>
                      </a:schemeClr>
                    </a:solidFill>
                  </a:rPr>
                  <a:pPr>
                    <a:defRPr sz="700" b="1" i="0" u="none" strike="noStrike" kern="1200" baseline="0">
                      <a:solidFill>
                        <a:schemeClr val="accent1">
                          <a:lumMod val="50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dLbl>
          <c:idx val="0"/>
          <c:tx>
            <c:rich>
              <a:bodyPr rot="0" spcFirstLastPara="1" vertOverflow="ellipsis" vert="horz" wrap="none" lIns="38100" tIns="19050" rIns="38100" bIns="19050" anchor="ctr" anchorCtr="1">
                <a:spAutoFit/>
              </a:bodyPr>
              <a:lstStyle/>
              <a:p>
                <a:pPr>
                  <a:defRPr sz="700" b="1" i="0" u="none" strike="noStrike" kern="1200" baseline="0">
                    <a:solidFill>
                      <a:schemeClr val="accent1">
                        <a:lumMod val="50000"/>
                      </a:schemeClr>
                    </a:solidFill>
                    <a:latin typeface="+mn-lt"/>
                    <a:ea typeface="+mn-ea"/>
                    <a:cs typeface="+mn-cs"/>
                  </a:defRPr>
                </a:pPr>
                <a:fld id="{1EDAE61E-A7B9-4C06-BE5F-7737BAB3870D}" type="CELLRANGE">
                  <a:rPr lang="en-US"/>
                  <a:pPr>
                    <a:defRPr sz="700" b="1" i="0" u="none" strike="noStrike" kern="1200" baseline="0">
                      <a:solidFill>
                        <a:schemeClr val="accent1">
                          <a:lumMod val="50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s>
    <c:plotArea>
      <c:layout>
        <c:manualLayout>
          <c:layoutTarget val="inner"/>
          <c:xMode val="edge"/>
          <c:yMode val="edge"/>
          <c:x val="1.6114264786669141E-3"/>
          <c:y val="7.5031677074848396E-2"/>
          <c:w val="0.87044358329554372"/>
          <c:h val="0.92496832292515163"/>
        </c:manualLayout>
      </c:layout>
      <c:barChart>
        <c:barDir val="bar"/>
        <c:grouping val="clustered"/>
        <c:varyColors val="0"/>
        <c:ser>
          <c:idx val="0"/>
          <c:order val="0"/>
          <c:tx>
            <c:strRef>
              <c:f>'Pivot Report'!$C$40:$C$41</c:f>
              <c:strCache>
                <c:ptCount val="1"/>
                <c:pt idx="0">
                  <c:v>Count of Patient Admission Flag</c:v>
                </c:pt>
              </c:strCache>
            </c:strRef>
          </c:tx>
          <c:spPr>
            <a:solidFill>
              <a:schemeClr val="accent1">
                <a:lumMod val="75000"/>
              </a:schemeClr>
            </a:solidFill>
            <a:ln>
              <a:noFill/>
            </a:ln>
            <a:effectLst/>
          </c:spPr>
          <c:invertIfNegative val="0"/>
          <c:dPt>
            <c:idx val="0"/>
            <c:invertIfNegative val="0"/>
            <c:bubble3D val="0"/>
            <c:extLst>
              <c:ext xmlns:c16="http://schemas.microsoft.com/office/drawing/2014/chart" uri="{C3380CC4-5D6E-409C-BE32-E72D297353CC}">
                <c16:uniqueId val="{00000003-6C38-4FEF-A51D-BEA3D84B6E73}"/>
              </c:ext>
            </c:extLst>
          </c:dPt>
          <c:dPt>
            <c:idx val="1"/>
            <c:invertIfNegative val="0"/>
            <c:bubble3D val="0"/>
            <c:extLst>
              <c:ext xmlns:c16="http://schemas.microsoft.com/office/drawing/2014/chart" uri="{C3380CC4-5D6E-409C-BE32-E72D297353CC}">
                <c16:uniqueId val="{00000004-6C38-4FEF-A51D-BEA3D84B6E73}"/>
              </c:ext>
            </c:extLst>
          </c:dPt>
          <c:dLbls>
            <c:dLbl>
              <c:idx val="0"/>
              <c:tx>
                <c:rich>
                  <a:bodyPr rot="0" spcFirstLastPara="1" vertOverflow="ellipsis" vert="horz" wrap="none" lIns="38100" tIns="19050" rIns="38100" bIns="19050" anchor="ctr" anchorCtr="1">
                    <a:spAutoFit/>
                  </a:bodyPr>
                  <a:lstStyle/>
                  <a:p>
                    <a:pPr>
                      <a:defRPr sz="700" b="1" i="0" u="none" strike="noStrike" kern="1200" baseline="0">
                        <a:solidFill>
                          <a:schemeClr val="accent1">
                            <a:lumMod val="50000"/>
                          </a:schemeClr>
                        </a:solidFill>
                        <a:latin typeface="+mn-lt"/>
                        <a:ea typeface="+mn-ea"/>
                        <a:cs typeface="+mn-cs"/>
                      </a:defRPr>
                    </a:pPr>
                    <a:fld id="{69389190-090D-41C9-9D28-E7799D38CF70}" type="CELLRANGE">
                      <a:rPr lang="en-US" b="1">
                        <a:solidFill>
                          <a:schemeClr val="accent1">
                            <a:lumMod val="50000"/>
                          </a:schemeClr>
                        </a:solidFill>
                      </a:rPr>
                      <a:pPr>
                        <a:defRPr sz="700" b="1" i="0" u="none" strike="noStrike" kern="1200" baseline="0">
                          <a:solidFill>
                            <a:schemeClr val="accent1">
                              <a:lumMod val="50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 xmlns:c16="http://schemas.microsoft.com/office/drawing/2014/chart" uri="{C3380CC4-5D6E-409C-BE32-E72D297353CC}">
                  <c16:uniqueId val="{00000003-6C38-4FEF-A51D-BEA3D84B6E73}"/>
                </c:ext>
              </c:extLst>
            </c:dLbl>
            <c:dLbl>
              <c:idx val="1"/>
              <c:tx>
                <c:rich>
                  <a:bodyPr rot="0" spcFirstLastPara="1" vertOverflow="ellipsis" vert="horz" wrap="none" lIns="38100" tIns="19050" rIns="38100" bIns="19050" anchor="ctr" anchorCtr="1">
                    <a:spAutoFit/>
                  </a:bodyPr>
                  <a:lstStyle/>
                  <a:p>
                    <a:pPr>
                      <a:defRPr sz="700" b="1" i="0" u="none" strike="noStrike" kern="1200" baseline="0">
                        <a:solidFill>
                          <a:schemeClr val="accent1">
                            <a:lumMod val="50000"/>
                          </a:schemeClr>
                        </a:solidFill>
                        <a:latin typeface="+mn-lt"/>
                        <a:ea typeface="+mn-ea"/>
                        <a:cs typeface="+mn-cs"/>
                      </a:defRPr>
                    </a:pPr>
                    <a:fld id="{1EDAE61E-A7B9-4C06-BE5F-7737BAB3870D}" type="CELLRANGE">
                      <a:rPr lang="en-US"/>
                      <a:pPr>
                        <a:defRPr sz="700" b="1" i="0" u="none" strike="noStrike" kern="1200" baseline="0">
                          <a:solidFill>
                            <a:schemeClr val="accent1">
                              <a:lumMod val="50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 xmlns:c16="http://schemas.microsoft.com/office/drawing/2014/chart" uri="{C3380CC4-5D6E-409C-BE32-E72D297353CC}">
                  <c16:uniqueId val="{00000004-6C38-4FEF-A51D-BEA3D84B6E73}"/>
                </c:ext>
              </c:extLst>
            </c:dLbl>
            <c:spPr>
              <a:noFill/>
              <a:ln>
                <a:noFill/>
              </a:ln>
              <a:effectLst/>
            </c:spPr>
            <c:txPr>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'Pivot Report'!$C$40:$C$41</c:f>
              <c:strCache>
                <c:ptCount val="2"/>
                <c:pt idx="0">
                  <c:v>Admitted</c:v>
                </c:pt>
                <c:pt idx="1">
                  <c:v>Not Admitted</c:v>
                </c:pt>
              </c:strCache>
            </c:strRef>
          </c:cat>
          <c:val>
            <c:numRef>
              <c:f>'Pivot Report'!$C$40:$C$41</c:f>
              <c:numCache>
                <c:formatCode>0.00</c:formatCode>
                <c:ptCount val="2"/>
                <c:pt idx="0">
                  <c:v>242</c:v>
                </c:pt>
                <c:pt idx="1">
                  <c:v>288</c:v>
                </c:pt>
              </c:numCache>
            </c:numRef>
          </c:val>
          <c:extLst>
            <c:ext xmlns:c15="http://schemas.microsoft.com/office/drawing/2012/chart" uri="{02D57815-91ED-43cb-92C2-25804820EDAC}">
              <c15:datalabelsRange>
                <c15:f>'Pivot Report'!$C$40:$C$41</c15:f>
                <c15:dlblRangeCache>
                  <c:ptCount val="2"/>
                  <c:pt idx="0">
                    <c:v>45.66%</c:v>
                  </c:pt>
                  <c:pt idx="1">
                    <c:v>54.34%</c:v>
                  </c:pt>
                </c15:dlblRangeCache>
              </c15:datalabelsRange>
            </c:ext>
            <c:ext xmlns:c16="http://schemas.microsoft.com/office/drawing/2014/chart" uri="{C3380CC4-5D6E-409C-BE32-E72D297353CC}">
              <c16:uniqueId val="{00000000-6C38-4FEF-A51D-BEA3D84B6E73}"/>
            </c:ext>
          </c:extLst>
        </c:ser>
        <c:ser>
          <c:idx val="1"/>
          <c:order val="1"/>
          <c:tx>
            <c:strRef>
              <c:f>'Pivot Report'!$C$40:$C$41</c:f>
              <c:strCache>
                <c:ptCount val="1"/>
                <c:pt idx="0">
                  <c:v>Count of Patient Admission Flag2</c:v>
                </c:pt>
              </c:strCache>
            </c:strRef>
          </c:tx>
          <c:spPr>
            <a:solidFill>
              <a:schemeClr val="accent2"/>
            </a:solidFill>
            <a:ln>
              <a:noFill/>
            </a:ln>
            <a:effectLst/>
          </c:spPr>
          <c:invertIfNegative val="0"/>
          <c:cat>
            <c:strRef>
              <c:f>'Pivot Report'!$C$40:$C$41</c:f>
              <c:strCache>
                <c:ptCount val="2"/>
                <c:pt idx="0">
                  <c:v>Admitted</c:v>
                </c:pt>
                <c:pt idx="1">
                  <c:v>Not Admitted</c:v>
                </c:pt>
              </c:strCache>
            </c:strRef>
          </c:cat>
          <c:val>
            <c:numRef>
              <c:f>'Pivot Report'!$C$40:$C$41</c:f>
              <c:numCache>
                <c:formatCode>0.00%</c:formatCode>
                <c:ptCount val="2"/>
                <c:pt idx="0">
                  <c:v>0.45660377358490567</c:v>
                </c:pt>
                <c:pt idx="1">
                  <c:v>0.54339622641509433</c:v>
                </c:pt>
              </c:numCache>
            </c:numRef>
          </c:val>
          <c:extLst>
            <c:ext xmlns:c16="http://schemas.microsoft.com/office/drawing/2014/chart" uri="{C3380CC4-5D6E-409C-BE32-E72D297353CC}">
              <c16:uniqueId val="{00000001-6C38-4FEF-A51D-BEA3D84B6E73}"/>
            </c:ext>
          </c:extLst>
        </c:ser>
        <c:dLbls>
          <c:showLegendKey val="0"/>
          <c:showVal val="0"/>
          <c:showCatName val="0"/>
          <c:showSerName val="0"/>
          <c:showPercent val="0"/>
          <c:showBubbleSize val="0"/>
        </c:dLbls>
        <c:gapWidth val="0"/>
        <c:axId val="1043833888"/>
        <c:axId val="1043842048"/>
      </c:barChart>
      <c:catAx>
        <c:axId val="1043833888"/>
        <c:scaling>
          <c:orientation val="minMax"/>
        </c:scaling>
        <c:delete val="1"/>
        <c:axPos val="l"/>
        <c:numFmt formatCode="General" sourceLinked="1"/>
        <c:majorTickMark val="none"/>
        <c:minorTickMark val="none"/>
        <c:tickLblPos val="nextTo"/>
        <c:crossAx val="1043842048"/>
        <c:crosses val="autoZero"/>
        <c:auto val="1"/>
        <c:lblAlgn val="ctr"/>
        <c:lblOffset val="100"/>
        <c:noMultiLvlLbl val="0"/>
      </c:catAx>
      <c:valAx>
        <c:axId val="1043842048"/>
        <c:scaling>
          <c:orientation val="minMax"/>
        </c:scaling>
        <c:delete val="1"/>
        <c:axPos val="b"/>
        <c:numFmt formatCode="0.00" sourceLinked="1"/>
        <c:majorTickMark val="none"/>
        <c:minorTickMark val="none"/>
        <c:tickLblPos val="nextTo"/>
        <c:crossAx val="104383388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Report!PivotTable5</c:name>
    <c:fmtId val="5"/>
  </c:pivotSource>
  <c:chart>
    <c:autoTitleDeleted val="1"/>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431733515950879E-2"/>
          <c:y val="0.29991961947828677"/>
          <c:w val="0.93106965703719968"/>
          <c:h val="0.59979638579129879"/>
        </c:manualLayout>
      </c:layout>
      <c:areaChart>
        <c:grouping val="standard"/>
        <c:varyColors val="0"/>
        <c:ser>
          <c:idx val="0"/>
          <c:order val="0"/>
          <c:tx>
            <c:strRef>
              <c:f>'Pivot Report'!$F$4</c:f>
              <c:strCache>
                <c:ptCount val="1"/>
                <c:pt idx="0">
                  <c:v>Total</c:v>
                </c:pt>
              </c:strCache>
            </c:strRef>
          </c:tx>
          <c:spPr>
            <a:solidFill>
              <a:schemeClr val="accent1">
                <a:lumMod val="75000"/>
              </a:schemeClr>
            </a:solidFill>
            <a:ln>
              <a:noFill/>
            </a:ln>
            <a:effectLst/>
          </c:spPr>
          <c:cat>
            <c:strRef>
              <c:f>'Pivot Report'!$E$5:$E$36</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Report'!$F$5:$F$36</c:f>
              <c:numCache>
                <c:formatCode>General</c:formatCode>
                <c:ptCount val="31"/>
                <c:pt idx="0">
                  <c:v>28</c:v>
                </c:pt>
                <c:pt idx="1">
                  <c:v>19</c:v>
                </c:pt>
                <c:pt idx="2">
                  <c:v>14</c:v>
                </c:pt>
                <c:pt idx="3">
                  <c:v>17</c:v>
                </c:pt>
                <c:pt idx="4">
                  <c:v>19</c:v>
                </c:pt>
                <c:pt idx="5">
                  <c:v>12</c:v>
                </c:pt>
                <c:pt idx="6">
                  <c:v>10</c:v>
                </c:pt>
                <c:pt idx="7">
                  <c:v>20</c:v>
                </c:pt>
                <c:pt idx="8">
                  <c:v>12</c:v>
                </c:pt>
                <c:pt idx="9">
                  <c:v>24</c:v>
                </c:pt>
                <c:pt idx="10">
                  <c:v>16</c:v>
                </c:pt>
                <c:pt idx="11">
                  <c:v>16</c:v>
                </c:pt>
                <c:pt idx="12">
                  <c:v>14</c:v>
                </c:pt>
                <c:pt idx="13">
                  <c:v>12</c:v>
                </c:pt>
                <c:pt idx="14">
                  <c:v>18</c:v>
                </c:pt>
                <c:pt idx="15">
                  <c:v>15</c:v>
                </c:pt>
                <c:pt idx="16">
                  <c:v>25</c:v>
                </c:pt>
                <c:pt idx="17">
                  <c:v>15</c:v>
                </c:pt>
                <c:pt idx="18">
                  <c:v>19</c:v>
                </c:pt>
                <c:pt idx="19">
                  <c:v>23</c:v>
                </c:pt>
                <c:pt idx="20">
                  <c:v>10</c:v>
                </c:pt>
                <c:pt idx="21">
                  <c:v>14</c:v>
                </c:pt>
                <c:pt idx="22">
                  <c:v>16</c:v>
                </c:pt>
                <c:pt idx="23">
                  <c:v>18</c:v>
                </c:pt>
                <c:pt idx="24">
                  <c:v>22</c:v>
                </c:pt>
                <c:pt idx="25">
                  <c:v>14</c:v>
                </c:pt>
                <c:pt idx="26">
                  <c:v>15</c:v>
                </c:pt>
                <c:pt idx="27">
                  <c:v>21</c:v>
                </c:pt>
                <c:pt idx="28">
                  <c:v>17</c:v>
                </c:pt>
                <c:pt idx="29">
                  <c:v>16</c:v>
                </c:pt>
                <c:pt idx="30">
                  <c:v>19</c:v>
                </c:pt>
              </c:numCache>
            </c:numRef>
          </c:val>
          <c:extLst>
            <c:ext xmlns:c16="http://schemas.microsoft.com/office/drawing/2014/chart" uri="{C3380CC4-5D6E-409C-BE32-E72D297353CC}">
              <c16:uniqueId val="{00000000-2051-4295-B374-DDAF9FD0EB1D}"/>
            </c:ext>
          </c:extLst>
        </c:ser>
        <c:dLbls>
          <c:showLegendKey val="0"/>
          <c:showVal val="0"/>
          <c:showCatName val="0"/>
          <c:showSerName val="0"/>
          <c:showPercent val="0"/>
          <c:showBubbleSize val="0"/>
        </c:dLbls>
        <c:axId val="1065054336"/>
        <c:axId val="1065052896"/>
      </c:areaChart>
      <c:catAx>
        <c:axId val="1065054336"/>
        <c:scaling>
          <c:orientation val="minMax"/>
        </c:scaling>
        <c:delete val="1"/>
        <c:axPos val="b"/>
        <c:numFmt formatCode="General" sourceLinked="1"/>
        <c:majorTickMark val="out"/>
        <c:minorTickMark val="none"/>
        <c:tickLblPos val="nextTo"/>
        <c:crossAx val="1065052896"/>
        <c:crosses val="autoZero"/>
        <c:auto val="1"/>
        <c:lblAlgn val="ctr"/>
        <c:lblOffset val="100"/>
        <c:noMultiLvlLbl val="0"/>
      </c:catAx>
      <c:valAx>
        <c:axId val="1065052896"/>
        <c:scaling>
          <c:orientation val="minMax"/>
        </c:scaling>
        <c:delete val="1"/>
        <c:axPos val="l"/>
        <c:numFmt formatCode="General" sourceLinked="1"/>
        <c:majorTickMark val="none"/>
        <c:minorTickMark val="none"/>
        <c:tickLblPos val="nextTo"/>
        <c:crossAx val="10650543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5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Report!PivotTable1</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26308433779086"/>
          <c:y val="0.5"/>
          <c:w val="0.71742610938738982"/>
          <c:h val="0.4"/>
        </c:manualLayout>
      </c:layout>
      <c:areaChart>
        <c:grouping val="standard"/>
        <c:varyColors val="0"/>
        <c:ser>
          <c:idx val="0"/>
          <c:order val="0"/>
          <c:tx>
            <c:strRef>
              <c:f>'Pivot Report'!$J$4</c:f>
              <c:strCache>
                <c:ptCount val="1"/>
                <c:pt idx="0">
                  <c:v>Total</c:v>
                </c:pt>
              </c:strCache>
            </c:strRef>
          </c:tx>
          <c:spPr>
            <a:solidFill>
              <a:schemeClr val="accent1">
                <a:lumMod val="75000"/>
              </a:schemeClr>
            </a:solidFill>
            <a:ln>
              <a:noFill/>
            </a:ln>
            <a:effectLst/>
          </c:spPr>
          <c:cat>
            <c:strRef>
              <c:f>'Pivot Report'!$I$5:$I$36</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Report'!$J$5:$J$36</c:f>
              <c:numCache>
                <c:formatCode>0.00</c:formatCode>
                <c:ptCount val="31"/>
                <c:pt idx="0">
                  <c:v>35.285714285714285</c:v>
                </c:pt>
                <c:pt idx="1">
                  <c:v>31.842105263157894</c:v>
                </c:pt>
                <c:pt idx="2">
                  <c:v>34.714285714285715</c:v>
                </c:pt>
                <c:pt idx="3">
                  <c:v>42.823529411764703</c:v>
                </c:pt>
                <c:pt idx="4">
                  <c:v>32.157894736842103</c:v>
                </c:pt>
                <c:pt idx="5">
                  <c:v>34.833333333333336</c:v>
                </c:pt>
                <c:pt idx="6">
                  <c:v>33.4</c:v>
                </c:pt>
                <c:pt idx="7">
                  <c:v>28.15</c:v>
                </c:pt>
                <c:pt idx="8">
                  <c:v>31.333333333333332</c:v>
                </c:pt>
                <c:pt idx="9">
                  <c:v>37.375</c:v>
                </c:pt>
                <c:pt idx="10">
                  <c:v>36.0625</c:v>
                </c:pt>
                <c:pt idx="11">
                  <c:v>40.5</c:v>
                </c:pt>
                <c:pt idx="12">
                  <c:v>39.571428571428569</c:v>
                </c:pt>
                <c:pt idx="13">
                  <c:v>30.25</c:v>
                </c:pt>
                <c:pt idx="14">
                  <c:v>39.722222222222221</c:v>
                </c:pt>
                <c:pt idx="15">
                  <c:v>38.133333333333333</c:v>
                </c:pt>
                <c:pt idx="16">
                  <c:v>34.08</c:v>
                </c:pt>
                <c:pt idx="17">
                  <c:v>30.066666666666666</c:v>
                </c:pt>
                <c:pt idx="18">
                  <c:v>33.263157894736842</c:v>
                </c:pt>
                <c:pt idx="19">
                  <c:v>38.565217391304351</c:v>
                </c:pt>
                <c:pt idx="20">
                  <c:v>28.6</c:v>
                </c:pt>
                <c:pt idx="21">
                  <c:v>36.285714285714285</c:v>
                </c:pt>
                <c:pt idx="22">
                  <c:v>40.375</c:v>
                </c:pt>
                <c:pt idx="23">
                  <c:v>34.666666666666664</c:v>
                </c:pt>
                <c:pt idx="24">
                  <c:v>34.863636363636367</c:v>
                </c:pt>
                <c:pt idx="25">
                  <c:v>30.928571428571427</c:v>
                </c:pt>
                <c:pt idx="26">
                  <c:v>35.6</c:v>
                </c:pt>
                <c:pt idx="27">
                  <c:v>34.952380952380949</c:v>
                </c:pt>
                <c:pt idx="28">
                  <c:v>34.411764705882355</c:v>
                </c:pt>
                <c:pt idx="29">
                  <c:v>34</c:v>
                </c:pt>
                <c:pt idx="30">
                  <c:v>36.421052631578945</c:v>
                </c:pt>
              </c:numCache>
            </c:numRef>
          </c:val>
          <c:extLst>
            <c:ext xmlns:c16="http://schemas.microsoft.com/office/drawing/2014/chart" uri="{C3380CC4-5D6E-409C-BE32-E72D297353CC}">
              <c16:uniqueId val="{00000000-8451-405A-9680-0BC821ADBBBE}"/>
            </c:ext>
          </c:extLst>
        </c:ser>
        <c:dLbls>
          <c:showLegendKey val="0"/>
          <c:showVal val="0"/>
          <c:showCatName val="0"/>
          <c:showSerName val="0"/>
          <c:showPercent val="0"/>
          <c:showBubbleSize val="0"/>
        </c:dLbls>
        <c:axId val="121793647"/>
        <c:axId val="121795087"/>
      </c:areaChart>
      <c:catAx>
        <c:axId val="121793647"/>
        <c:scaling>
          <c:orientation val="minMax"/>
        </c:scaling>
        <c:delete val="1"/>
        <c:axPos val="b"/>
        <c:numFmt formatCode="General" sourceLinked="1"/>
        <c:majorTickMark val="out"/>
        <c:minorTickMark val="none"/>
        <c:tickLblPos val="nextTo"/>
        <c:crossAx val="121795087"/>
        <c:crosses val="autoZero"/>
        <c:auto val="1"/>
        <c:lblAlgn val="ctr"/>
        <c:lblOffset val="100"/>
        <c:noMultiLvlLbl val="0"/>
      </c:catAx>
      <c:valAx>
        <c:axId val="121795087"/>
        <c:scaling>
          <c:orientation val="minMax"/>
        </c:scaling>
        <c:delete val="1"/>
        <c:axPos val="l"/>
        <c:numFmt formatCode="0.00" sourceLinked="1"/>
        <c:majorTickMark val="none"/>
        <c:minorTickMark val="none"/>
        <c:tickLblPos val="nextTo"/>
        <c:crossAx val="1217936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5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Report!PivotTable6</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653396745117833E-2"/>
          <c:y val="0"/>
          <c:w val="0.90658400084066937"/>
          <c:h val="0.97790405138786918"/>
        </c:manualLayout>
      </c:layout>
      <c:areaChart>
        <c:grouping val="standard"/>
        <c:varyColors val="0"/>
        <c:ser>
          <c:idx val="0"/>
          <c:order val="0"/>
          <c:tx>
            <c:strRef>
              <c:f>'Pivot Report'!$M$4</c:f>
              <c:strCache>
                <c:ptCount val="1"/>
                <c:pt idx="0">
                  <c:v>Total</c:v>
                </c:pt>
              </c:strCache>
            </c:strRef>
          </c:tx>
          <c:spPr>
            <a:solidFill>
              <a:schemeClr val="accent1">
                <a:lumMod val="75000"/>
              </a:schemeClr>
            </a:solidFill>
            <a:ln>
              <a:noFill/>
            </a:ln>
            <a:effectLst/>
          </c:spPr>
          <c:cat>
            <c:strRef>
              <c:f>'Pivot Report'!$L$5:$L$35</c:f>
              <c:strCache>
                <c:ptCount val="30"/>
                <c:pt idx="0">
                  <c:v>1-Aug</c:v>
                </c:pt>
                <c:pt idx="1">
                  <c:v>2-Aug</c:v>
                </c:pt>
                <c:pt idx="2">
                  <c:v>3-Aug</c:v>
                </c:pt>
                <c:pt idx="3">
                  <c:v>4-Aug</c:v>
                </c:pt>
                <c:pt idx="4">
                  <c:v>5-Aug</c:v>
                </c:pt>
                <c:pt idx="5">
                  <c:v>6-Aug</c:v>
                </c:pt>
                <c:pt idx="6">
                  <c:v>8-Aug</c:v>
                </c:pt>
                <c:pt idx="7">
                  <c:v>9-Aug</c:v>
                </c:pt>
                <c:pt idx="8">
                  <c:v>10-Aug</c:v>
                </c:pt>
                <c:pt idx="9">
                  <c:v>11-Aug</c:v>
                </c:pt>
                <c:pt idx="10">
                  <c:v>12-Aug</c:v>
                </c:pt>
                <c:pt idx="11">
                  <c:v>13-Aug</c:v>
                </c:pt>
                <c:pt idx="12">
                  <c:v>14-Aug</c:v>
                </c:pt>
                <c:pt idx="13">
                  <c:v>15-Aug</c:v>
                </c:pt>
                <c:pt idx="14">
                  <c:v>16-Aug</c:v>
                </c:pt>
                <c:pt idx="15">
                  <c:v>17-Aug</c:v>
                </c:pt>
                <c:pt idx="16">
                  <c:v>18-Aug</c:v>
                </c:pt>
                <c:pt idx="17">
                  <c:v>19-Aug</c:v>
                </c:pt>
                <c:pt idx="18">
                  <c:v>20-Aug</c:v>
                </c:pt>
                <c:pt idx="19">
                  <c:v>21-Aug</c:v>
                </c:pt>
                <c:pt idx="20">
                  <c:v>22-Aug</c:v>
                </c:pt>
                <c:pt idx="21">
                  <c:v>23-Aug</c:v>
                </c:pt>
                <c:pt idx="22">
                  <c:v>24-Aug</c:v>
                </c:pt>
                <c:pt idx="23">
                  <c:v>25-Aug</c:v>
                </c:pt>
                <c:pt idx="24">
                  <c:v>26-Aug</c:v>
                </c:pt>
                <c:pt idx="25">
                  <c:v>27-Aug</c:v>
                </c:pt>
                <c:pt idx="26">
                  <c:v>28-Aug</c:v>
                </c:pt>
                <c:pt idx="27">
                  <c:v>29-Aug</c:v>
                </c:pt>
                <c:pt idx="28">
                  <c:v>30-Aug</c:v>
                </c:pt>
                <c:pt idx="29">
                  <c:v>31-Aug</c:v>
                </c:pt>
              </c:strCache>
            </c:strRef>
          </c:cat>
          <c:val>
            <c:numRef>
              <c:f>'Pivot Report'!$M$5:$M$35</c:f>
              <c:numCache>
                <c:formatCode>0.00</c:formatCode>
                <c:ptCount val="30"/>
                <c:pt idx="0">
                  <c:v>4.5</c:v>
                </c:pt>
                <c:pt idx="1">
                  <c:v>4.666666666666667</c:v>
                </c:pt>
                <c:pt idx="2">
                  <c:v>7.4</c:v>
                </c:pt>
                <c:pt idx="3">
                  <c:v>4.5</c:v>
                </c:pt>
                <c:pt idx="4">
                  <c:v>4.8</c:v>
                </c:pt>
                <c:pt idx="5">
                  <c:v>4.75</c:v>
                </c:pt>
                <c:pt idx="6">
                  <c:v>2.25</c:v>
                </c:pt>
                <c:pt idx="7">
                  <c:v>4</c:v>
                </c:pt>
                <c:pt idx="8">
                  <c:v>6.666666666666667</c:v>
                </c:pt>
                <c:pt idx="9">
                  <c:v>2.6666666666666665</c:v>
                </c:pt>
                <c:pt idx="10">
                  <c:v>3.6666666666666665</c:v>
                </c:pt>
                <c:pt idx="11">
                  <c:v>4</c:v>
                </c:pt>
                <c:pt idx="12">
                  <c:v>7.5</c:v>
                </c:pt>
                <c:pt idx="13">
                  <c:v>5.5</c:v>
                </c:pt>
                <c:pt idx="14">
                  <c:v>7.5</c:v>
                </c:pt>
                <c:pt idx="15">
                  <c:v>5</c:v>
                </c:pt>
                <c:pt idx="16">
                  <c:v>3.5</c:v>
                </c:pt>
                <c:pt idx="17">
                  <c:v>6.5</c:v>
                </c:pt>
                <c:pt idx="18">
                  <c:v>5.833333333333333</c:v>
                </c:pt>
                <c:pt idx="19">
                  <c:v>4.5</c:v>
                </c:pt>
                <c:pt idx="20">
                  <c:v>3.75</c:v>
                </c:pt>
                <c:pt idx="21">
                  <c:v>10</c:v>
                </c:pt>
                <c:pt idx="22">
                  <c:v>4</c:v>
                </c:pt>
                <c:pt idx="23">
                  <c:v>8.3333333333333339</c:v>
                </c:pt>
                <c:pt idx="24">
                  <c:v>3.25</c:v>
                </c:pt>
                <c:pt idx="25">
                  <c:v>6</c:v>
                </c:pt>
                <c:pt idx="26">
                  <c:v>6</c:v>
                </c:pt>
                <c:pt idx="27">
                  <c:v>3.3333333333333335</c:v>
                </c:pt>
                <c:pt idx="28">
                  <c:v>6.666666666666667</c:v>
                </c:pt>
                <c:pt idx="29">
                  <c:v>5.625</c:v>
                </c:pt>
              </c:numCache>
            </c:numRef>
          </c:val>
          <c:extLst>
            <c:ext xmlns:c16="http://schemas.microsoft.com/office/drawing/2014/chart" uri="{C3380CC4-5D6E-409C-BE32-E72D297353CC}">
              <c16:uniqueId val="{00000000-0CE9-43C4-A27E-18D7467BF5AB}"/>
            </c:ext>
          </c:extLst>
        </c:ser>
        <c:dLbls>
          <c:showLegendKey val="0"/>
          <c:showVal val="0"/>
          <c:showCatName val="0"/>
          <c:showSerName val="0"/>
          <c:showPercent val="0"/>
          <c:showBubbleSize val="0"/>
        </c:dLbls>
        <c:axId val="161071263"/>
        <c:axId val="161079423"/>
      </c:areaChart>
      <c:catAx>
        <c:axId val="161071263"/>
        <c:scaling>
          <c:orientation val="minMax"/>
        </c:scaling>
        <c:delete val="1"/>
        <c:axPos val="b"/>
        <c:numFmt formatCode="General" sourceLinked="1"/>
        <c:majorTickMark val="out"/>
        <c:minorTickMark val="none"/>
        <c:tickLblPos val="nextTo"/>
        <c:crossAx val="161079423"/>
        <c:crosses val="autoZero"/>
        <c:auto val="1"/>
        <c:lblAlgn val="ctr"/>
        <c:lblOffset val="100"/>
        <c:noMultiLvlLbl val="0"/>
      </c:catAx>
      <c:valAx>
        <c:axId val="161079423"/>
        <c:scaling>
          <c:orientation val="minMax"/>
        </c:scaling>
        <c:delete val="1"/>
        <c:axPos val="l"/>
        <c:numFmt formatCode="0.00" sourceLinked="1"/>
        <c:majorTickMark val="none"/>
        <c:minorTickMark val="none"/>
        <c:tickLblPos val="nextTo"/>
        <c:crossAx val="1610712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Report!PivotTable8</c:name>
    <c:fmtId val="3"/>
  </c:pivotSource>
  <c:chart>
    <c:autoTitleDeleted val="1"/>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lumMod val="75000"/>
            </a:schemeClr>
          </a:soli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2540441851373075"/>
          <c:y val="0.17331083138326098"/>
          <c:w val="0.67785680620420752"/>
          <c:h val="0.72666300437637565"/>
        </c:manualLayout>
      </c:layout>
      <c:pieChart>
        <c:varyColors val="1"/>
        <c:ser>
          <c:idx val="0"/>
          <c:order val="0"/>
          <c:tx>
            <c:strRef>
              <c:f>'Pivot Report'!$B$51</c:f>
              <c:strCache>
                <c:ptCount val="1"/>
                <c:pt idx="0">
                  <c:v>Total</c:v>
                </c:pt>
              </c:strCache>
            </c:strRef>
          </c:tx>
          <c:dPt>
            <c:idx val="0"/>
            <c:bubble3D val="0"/>
            <c:spPr>
              <a:solidFill>
                <a:schemeClr val="accent1">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7DA-45EA-A84A-0F73CDFB246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7DA-45EA-A84A-0F73CDFB246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Report'!$A$52:$A$54</c:f>
              <c:strCache>
                <c:ptCount val="2"/>
                <c:pt idx="0">
                  <c:v>Delay</c:v>
                </c:pt>
                <c:pt idx="1">
                  <c:v>Ontime</c:v>
                </c:pt>
              </c:strCache>
            </c:strRef>
          </c:cat>
          <c:val>
            <c:numRef>
              <c:f>'Pivot Report'!$B$52:$B$54</c:f>
              <c:numCache>
                <c:formatCode>0</c:formatCode>
                <c:ptCount val="2"/>
                <c:pt idx="0">
                  <c:v>323</c:v>
                </c:pt>
                <c:pt idx="1">
                  <c:v>207</c:v>
                </c:pt>
              </c:numCache>
            </c:numRef>
          </c:val>
          <c:extLst>
            <c:ext xmlns:c16="http://schemas.microsoft.com/office/drawing/2014/chart" uri="{C3380CC4-5D6E-409C-BE32-E72D297353CC}">
              <c16:uniqueId val="{00000004-27DA-45EA-A84A-0F73CDFB246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6.061140878935211E-2"/>
          <c:y val="4.7116647673396954E-2"/>
          <c:w val="0.92963366039676076"/>
          <c:h val="0.1034953415743825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474261715023986E-2"/>
          <c:y val="8.8617920527261682E-2"/>
          <c:w val="0.92787615142600777"/>
          <c:h val="0.73755212006382775"/>
        </c:manualLayout>
      </c:layout>
      <c:barChart>
        <c:barDir val="col"/>
        <c:grouping val="clustered"/>
        <c:varyColors val="0"/>
        <c:ser>
          <c:idx val="0"/>
          <c:order val="0"/>
          <c:tx>
            <c:strRef>
              <c:f>'Pivot Report'!$F$50</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Report'!$E$51:$E$59</c:f>
              <c:strCache>
                <c:ptCount val="8"/>
                <c:pt idx="0">
                  <c:v>0-09</c:v>
                </c:pt>
                <c:pt idx="1">
                  <c:v>10-19</c:v>
                </c:pt>
                <c:pt idx="2">
                  <c:v>20-29</c:v>
                </c:pt>
                <c:pt idx="3">
                  <c:v>30-39</c:v>
                </c:pt>
                <c:pt idx="4">
                  <c:v>40-49</c:v>
                </c:pt>
                <c:pt idx="5">
                  <c:v>50-59</c:v>
                </c:pt>
                <c:pt idx="6">
                  <c:v>60-69</c:v>
                </c:pt>
                <c:pt idx="7">
                  <c:v>70-79</c:v>
                </c:pt>
              </c:strCache>
            </c:strRef>
          </c:cat>
          <c:val>
            <c:numRef>
              <c:f>'Pivot Report'!$F$51:$F$59</c:f>
              <c:numCache>
                <c:formatCode>0</c:formatCode>
                <c:ptCount val="8"/>
                <c:pt idx="0">
                  <c:v>63</c:v>
                </c:pt>
                <c:pt idx="1">
                  <c:v>63</c:v>
                </c:pt>
                <c:pt idx="2">
                  <c:v>65</c:v>
                </c:pt>
                <c:pt idx="3">
                  <c:v>60</c:v>
                </c:pt>
                <c:pt idx="4">
                  <c:v>65</c:v>
                </c:pt>
                <c:pt idx="5">
                  <c:v>72</c:v>
                </c:pt>
                <c:pt idx="6">
                  <c:v>73</c:v>
                </c:pt>
                <c:pt idx="7">
                  <c:v>69</c:v>
                </c:pt>
              </c:numCache>
            </c:numRef>
          </c:val>
          <c:extLst>
            <c:ext xmlns:c16="http://schemas.microsoft.com/office/drawing/2014/chart" uri="{C3380CC4-5D6E-409C-BE32-E72D297353CC}">
              <c16:uniqueId val="{00000000-5267-424A-AFC3-4A439EC4177D}"/>
            </c:ext>
          </c:extLst>
        </c:ser>
        <c:dLbls>
          <c:showLegendKey val="0"/>
          <c:showVal val="0"/>
          <c:showCatName val="0"/>
          <c:showSerName val="0"/>
          <c:showPercent val="0"/>
          <c:showBubbleSize val="0"/>
        </c:dLbls>
        <c:gapWidth val="219"/>
        <c:overlap val="-27"/>
        <c:axId val="415791311"/>
        <c:axId val="415787951"/>
      </c:barChart>
      <c:catAx>
        <c:axId val="415791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accent1">
                    <a:lumMod val="50000"/>
                  </a:schemeClr>
                </a:solidFill>
                <a:latin typeface="+mn-lt"/>
                <a:ea typeface="+mn-ea"/>
                <a:cs typeface="+mn-cs"/>
              </a:defRPr>
            </a:pPr>
            <a:endParaRPr lang="en-US"/>
          </a:p>
        </c:txPr>
        <c:crossAx val="415787951"/>
        <c:crosses val="autoZero"/>
        <c:auto val="1"/>
        <c:lblAlgn val="ctr"/>
        <c:lblOffset val="100"/>
        <c:noMultiLvlLbl val="0"/>
      </c:catAx>
      <c:valAx>
        <c:axId val="415787951"/>
        <c:scaling>
          <c:orientation val="minMax"/>
        </c:scaling>
        <c:delete val="1"/>
        <c:axPos val="l"/>
        <c:numFmt formatCode="0" sourceLinked="1"/>
        <c:majorTickMark val="none"/>
        <c:minorTickMark val="none"/>
        <c:tickLblPos val="nextTo"/>
        <c:crossAx val="41579131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Report!PivotTable10</c:name>
    <c:fmtId val="9"/>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19125310630433712"/>
          <c:y val="0.2010139778622953"/>
          <c:w val="0.53293543817888667"/>
          <c:h val="0.68635583872393291"/>
        </c:manualLayout>
      </c:layout>
      <c:doughnutChart>
        <c:varyColors val="1"/>
        <c:ser>
          <c:idx val="0"/>
          <c:order val="0"/>
          <c:tx>
            <c:strRef>
              <c:f>'Pivot Report'!$B$59</c:f>
              <c:strCache>
                <c:ptCount val="1"/>
                <c:pt idx="0">
                  <c:v>Total</c:v>
                </c:pt>
              </c:strCache>
            </c:strRef>
          </c:tx>
          <c:dPt>
            <c:idx val="0"/>
            <c:bubble3D val="0"/>
            <c:spPr>
              <a:solidFill>
                <a:schemeClr val="accent1">
                  <a:lumMod val="75000"/>
                </a:schemeClr>
              </a:solidFill>
              <a:ln>
                <a:noFill/>
              </a:ln>
              <a:effectLst/>
            </c:spPr>
            <c:extLst>
              <c:ext xmlns:c16="http://schemas.microsoft.com/office/drawing/2014/chart" uri="{C3380CC4-5D6E-409C-BE32-E72D297353CC}">
                <c16:uniqueId val="{00000001-AFA2-4000-A068-A31C67861E6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AFA2-4000-A068-A31C67861E6C}"/>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Report'!$A$60:$A$62</c:f>
              <c:strCache>
                <c:ptCount val="2"/>
                <c:pt idx="0">
                  <c:v>Female</c:v>
                </c:pt>
                <c:pt idx="1">
                  <c:v>Male</c:v>
                </c:pt>
              </c:strCache>
            </c:strRef>
          </c:cat>
          <c:val>
            <c:numRef>
              <c:f>'Pivot Report'!$B$60:$B$62</c:f>
              <c:numCache>
                <c:formatCode>0.00</c:formatCode>
                <c:ptCount val="2"/>
                <c:pt idx="0">
                  <c:v>259</c:v>
                </c:pt>
                <c:pt idx="1">
                  <c:v>271</c:v>
                </c:pt>
              </c:numCache>
            </c:numRef>
          </c:val>
          <c:extLst>
            <c:ext xmlns:c16="http://schemas.microsoft.com/office/drawing/2014/chart" uri="{C3380CC4-5D6E-409C-BE32-E72D297353CC}">
              <c16:uniqueId val="{00000004-AFA2-4000-A068-A31C67861E6C}"/>
            </c:ext>
          </c:extLst>
        </c:ser>
        <c:dLbls>
          <c:showLegendKey val="0"/>
          <c:showVal val="0"/>
          <c:showCatName val="0"/>
          <c:showSerName val="0"/>
          <c:showPercent val="1"/>
          <c:showBubbleSize val="0"/>
          <c:showLeaderLines val="1"/>
        </c:dLbls>
        <c:firstSliceAng val="0"/>
        <c:holeSize val="55"/>
      </c:doughnutChart>
      <c:spPr>
        <a:noFill/>
        <a:ln>
          <a:noFill/>
        </a:ln>
        <a:effectLst/>
      </c:spPr>
    </c:plotArea>
    <c:legend>
      <c:legendPos val="r"/>
      <c:layout>
        <c:manualLayout>
          <c:xMode val="edge"/>
          <c:yMode val="edge"/>
          <c:x val="3.1863134153845736E-2"/>
          <c:y val="5.9460719666786122E-2"/>
          <c:w val="0.82230351844058958"/>
          <c:h val="0.1077203592418479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Report!PivotTable11</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52563633034242"/>
          <c:y val="6.879259714635004E-2"/>
          <c:w val="0.73344968870170291"/>
          <c:h val="0.85916107340257641"/>
        </c:manualLayout>
      </c:layout>
      <c:barChart>
        <c:barDir val="bar"/>
        <c:grouping val="clustered"/>
        <c:varyColors val="0"/>
        <c:ser>
          <c:idx val="0"/>
          <c:order val="0"/>
          <c:tx>
            <c:strRef>
              <c:f>'Pivot Report'!$B$66</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Report'!$A$67:$A$75</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'Pivot Report'!$B$67:$B$75</c:f>
              <c:numCache>
                <c:formatCode>0</c:formatCode>
                <c:ptCount val="8"/>
                <c:pt idx="0">
                  <c:v>7</c:v>
                </c:pt>
                <c:pt idx="1">
                  <c:v>10</c:v>
                </c:pt>
                <c:pt idx="2">
                  <c:v>12</c:v>
                </c:pt>
                <c:pt idx="3">
                  <c:v>14</c:v>
                </c:pt>
                <c:pt idx="4">
                  <c:v>18</c:v>
                </c:pt>
                <c:pt idx="5">
                  <c:v>53</c:v>
                </c:pt>
                <c:pt idx="6">
                  <c:v>109</c:v>
                </c:pt>
                <c:pt idx="7">
                  <c:v>307</c:v>
                </c:pt>
              </c:numCache>
            </c:numRef>
          </c:val>
          <c:extLst>
            <c:ext xmlns:c16="http://schemas.microsoft.com/office/drawing/2014/chart" uri="{C3380CC4-5D6E-409C-BE32-E72D297353CC}">
              <c16:uniqueId val="{00000000-AAFE-4015-A215-8EA13A40B442}"/>
            </c:ext>
          </c:extLst>
        </c:ser>
        <c:dLbls>
          <c:showLegendKey val="0"/>
          <c:showVal val="0"/>
          <c:showCatName val="0"/>
          <c:showSerName val="0"/>
          <c:showPercent val="0"/>
          <c:showBubbleSize val="0"/>
        </c:dLbls>
        <c:gapWidth val="40"/>
        <c:overlap val="-45"/>
        <c:axId val="1958730591"/>
        <c:axId val="1958729631"/>
      </c:barChart>
      <c:catAx>
        <c:axId val="19587305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1" i="0" u="none" strike="noStrike" kern="1200" baseline="0">
                <a:solidFill>
                  <a:schemeClr val="accent1">
                    <a:lumMod val="50000"/>
                  </a:schemeClr>
                </a:solidFill>
                <a:latin typeface="+mn-lt"/>
                <a:ea typeface="+mn-ea"/>
                <a:cs typeface="+mn-cs"/>
              </a:defRPr>
            </a:pPr>
            <a:endParaRPr lang="en-US"/>
          </a:p>
        </c:txPr>
        <c:crossAx val="1958729631"/>
        <c:crosses val="autoZero"/>
        <c:auto val="1"/>
        <c:lblAlgn val="ctr"/>
        <c:lblOffset val="100"/>
        <c:noMultiLvlLbl val="0"/>
      </c:catAx>
      <c:valAx>
        <c:axId val="1958729631"/>
        <c:scaling>
          <c:orientation val="minMax"/>
        </c:scaling>
        <c:delete val="1"/>
        <c:axPos val="b"/>
        <c:numFmt formatCode="0" sourceLinked="1"/>
        <c:majorTickMark val="none"/>
        <c:minorTickMark val="none"/>
        <c:tickLblPos val="nextTo"/>
        <c:crossAx val="1958730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Report!PivotTable5</c:name>
    <c:fmtId val="8"/>
  </c:pivotSource>
  <c:chart>
    <c:title>
      <c:overlay val="0"/>
      <c:spPr>
        <a:noFill/>
        <a:ln>
          <a:noFill/>
        </a:ln>
        <a:effectLst/>
      </c:spPr>
      <c:txPr>
        <a:bodyPr rot="0" spcFirstLastPara="1" vertOverflow="ellipsis" vert="horz" wrap="square" anchor="ctr" anchorCtr="1"/>
        <a:lstStyle/>
        <a:p>
          <a:pPr>
            <a:defRPr sz="12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431733515950879E-2"/>
          <c:y val="0.29991961947828677"/>
          <c:w val="0.93106965703719968"/>
          <c:h val="0.59979638579129879"/>
        </c:manualLayout>
      </c:layout>
      <c:areaChart>
        <c:grouping val="standard"/>
        <c:varyColors val="0"/>
        <c:ser>
          <c:idx val="0"/>
          <c:order val="0"/>
          <c:tx>
            <c:strRef>
              <c:f>'Pivot Report'!$F$4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Report'!$E$5:$E$36</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Report'!$F$5:$F$36</c:f>
              <c:numCache>
                <c:formatCode>General</c:formatCode>
                <c:ptCount val="31"/>
                <c:pt idx="0">
                  <c:v>28</c:v>
                </c:pt>
                <c:pt idx="1">
                  <c:v>19</c:v>
                </c:pt>
                <c:pt idx="2">
                  <c:v>14</c:v>
                </c:pt>
                <c:pt idx="3">
                  <c:v>17</c:v>
                </c:pt>
                <c:pt idx="4">
                  <c:v>19</c:v>
                </c:pt>
                <c:pt idx="5">
                  <c:v>12</c:v>
                </c:pt>
                <c:pt idx="6">
                  <c:v>10</c:v>
                </c:pt>
                <c:pt idx="7">
                  <c:v>20</c:v>
                </c:pt>
                <c:pt idx="8">
                  <c:v>12</c:v>
                </c:pt>
                <c:pt idx="9">
                  <c:v>24</c:v>
                </c:pt>
                <c:pt idx="10">
                  <c:v>16</c:v>
                </c:pt>
                <c:pt idx="11">
                  <c:v>16</c:v>
                </c:pt>
                <c:pt idx="12">
                  <c:v>14</c:v>
                </c:pt>
                <c:pt idx="13">
                  <c:v>12</c:v>
                </c:pt>
                <c:pt idx="14">
                  <c:v>18</c:v>
                </c:pt>
                <c:pt idx="15">
                  <c:v>15</c:v>
                </c:pt>
                <c:pt idx="16">
                  <c:v>25</c:v>
                </c:pt>
                <c:pt idx="17">
                  <c:v>15</c:v>
                </c:pt>
                <c:pt idx="18">
                  <c:v>19</c:v>
                </c:pt>
                <c:pt idx="19">
                  <c:v>23</c:v>
                </c:pt>
                <c:pt idx="20">
                  <c:v>10</c:v>
                </c:pt>
                <c:pt idx="21">
                  <c:v>14</c:v>
                </c:pt>
                <c:pt idx="22">
                  <c:v>16</c:v>
                </c:pt>
                <c:pt idx="23">
                  <c:v>18</c:v>
                </c:pt>
                <c:pt idx="24">
                  <c:v>22</c:v>
                </c:pt>
                <c:pt idx="25">
                  <c:v>14</c:v>
                </c:pt>
                <c:pt idx="26">
                  <c:v>15</c:v>
                </c:pt>
                <c:pt idx="27">
                  <c:v>21</c:v>
                </c:pt>
                <c:pt idx="28">
                  <c:v>17</c:v>
                </c:pt>
                <c:pt idx="29">
                  <c:v>16</c:v>
                </c:pt>
                <c:pt idx="30">
                  <c:v>19</c:v>
                </c:pt>
              </c:numCache>
            </c:numRef>
          </c:val>
          <c:extLst>
            <c:ext xmlns:c16="http://schemas.microsoft.com/office/drawing/2014/chart" uri="{C3380CC4-5D6E-409C-BE32-E72D297353CC}">
              <c16:uniqueId val="{00000000-E1FE-4BEE-A68E-53EEF0F0BC9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65054336"/>
        <c:axId val="1065052896"/>
      </c:areaChart>
      <c:catAx>
        <c:axId val="1065054336"/>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65052896"/>
        <c:crosses val="autoZero"/>
        <c:auto val="1"/>
        <c:lblAlgn val="ctr"/>
        <c:lblOffset val="100"/>
        <c:noMultiLvlLbl val="0"/>
      </c:catAx>
      <c:valAx>
        <c:axId val="1065052896"/>
        <c:scaling>
          <c:orientation val="minMax"/>
        </c:scaling>
        <c:delete val="1"/>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title>
        <c:numFmt formatCode="General" sourceLinked="1"/>
        <c:majorTickMark val="out"/>
        <c:minorTickMark val="none"/>
        <c:tickLblPos val="nextTo"/>
        <c:crossAx val="106505433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accent1"/>
      </a:solidFill>
      <a:round/>
    </a:ln>
    <a:effectLst/>
  </c:spPr>
  <c:txPr>
    <a:bodyPr/>
    <a:lstStyle/>
    <a:p>
      <a:pPr>
        <a:defRPr sz="1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Report!PivotTable1</c:name>
    <c:fmtId val="19"/>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64276833816826E-2"/>
          <c:y val="0.28988603988603989"/>
          <c:w val="0.92929701354898209"/>
          <c:h val="0.58086316934742133"/>
        </c:manualLayout>
      </c:layout>
      <c:areaChart>
        <c:grouping val="standard"/>
        <c:varyColors val="0"/>
        <c:ser>
          <c:idx val="0"/>
          <c:order val="0"/>
          <c:tx>
            <c:strRef>
              <c:f>'Pivot Report'!$J$4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Report'!$I$5:$I$36</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Report'!$J$5:$J$36</c:f>
              <c:numCache>
                <c:formatCode>0.00</c:formatCode>
                <c:ptCount val="31"/>
                <c:pt idx="0">
                  <c:v>35.285714285714285</c:v>
                </c:pt>
                <c:pt idx="1">
                  <c:v>31.842105263157894</c:v>
                </c:pt>
                <c:pt idx="2">
                  <c:v>34.714285714285715</c:v>
                </c:pt>
                <c:pt idx="3">
                  <c:v>42.823529411764703</c:v>
                </c:pt>
                <c:pt idx="4">
                  <c:v>32.157894736842103</c:v>
                </c:pt>
                <c:pt idx="5">
                  <c:v>34.833333333333336</c:v>
                </c:pt>
                <c:pt idx="6">
                  <c:v>33.4</c:v>
                </c:pt>
                <c:pt idx="7">
                  <c:v>28.15</c:v>
                </c:pt>
                <c:pt idx="8">
                  <c:v>31.333333333333332</c:v>
                </c:pt>
                <c:pt idx="9">
                  <c:v>37.375</c:v>
                </c:pt>
                <c:pt idx="10">
                  <c:v>36.0625</c:v>
                </c:pt>
                <c:pt idx="11">
                  <c:v>40.5</c:v>
                </c:pt>
                <c:pt idx="12">
                  <c:v>39.571428571428569</c:v>
                </c:pt>
                <c:pt idx="13">
                  <c:v>30.25</c:v>
                </c:pt>
                <c:pt idx="14">
                  <c:v>39.722222222222221</c:v>
                </c:pt>
                <c:pt idx="15">
                  <c:v>38.133333333333333</c:v>
                </c:pt>
                <c:pt idx="16">
                  <c:v>34.08</c:v>
                </c:pt>
                <c:pt idx="17">
                  <c:v>30.066666666666666</c:v>
                </c:pt>
                <c:pt idx="18">
                  <c:v>33.263157894736842</c:v>
                </c:pt>
                <c:pt idx="19">
                  <c:v>38.565217391304351</c:v>
                </c:pt>
                <c:pt idx="20">
                  <c:v>28.6</c:v>
                </c:pt>
                <c:pt idx="21">
                  <c:v>36.285714285714285</c:v>
                </c:pt>
                <c:pt idx="22">
                  <c:v>40.375</c:v>
                </c:pt>
                <c:pt idx="23">
                  <c:v>34.666666666666664</c:v>
                </c:pt>
                <c:pt idx="24">
                  <c:v>34.863636363636367</c:v>
                </c:pt>
                <c:pt idx="25">
                  <c:v>30.928571428571427</c:v>
                </c:pt>
                <c:pt idx="26">
                  <c:v>35.6</c:v>
                </c:pt>
                <c:pt idx="27">
                  <c:v>34.952380952380949</c:v>
                </c:pt>
                <c:pt idx="28">
                  <c:v>34.411764705882355</c:v>
                </c:pt>
                <c:pt idx="29">
                  <c:v>34</c:v>
                </c:pt>
                <c:pt idx="30">
                  <c:v>36.421052631578945</c:v>
                </c:pt>
              </c:numCache>
            </c:numRef>
          </c:val>
          <c:extLst>
            <c:ext xmlns:c16="http://schemas.microsoft.com/office/drawing/2014/chart" uri="{C3380CC4-5D6E-409C-BE32-E72D297353CC}">
              <c16:uniqueId val="{00000000-B1FB-49DF-8AEE-6B5620817BD6}"/>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1793647"/>
        <c:axId val="121795087"/>
      </c:areaChart>
      <c:catAx>
        <c:axId val="121793647"/>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1795087"/>
        <c:crosses val="autoZero"/>
        <c:auto val="1"/>
        <c:lblAlgn val="ctr"/>
        <c:lblOffset val="100"/>
        <c:noMultiLvlLbl val="0"/>
      </c:catAx>
      <c:valAx>
        <c:axId val="121795087"/>
        <c:scaling>
          <c:orientation val="minMax"/>
        </c:scaling>
        <c:delete val="1"/>
        <c:axPos val="l"/>
        <c:title>
          <c:overlay val="0"/>
          <c:spPr>
            <a:noFill/>
            <a:ln>
              <a:noFill/>
            </a:ln>
            <a:effectLst/>
          </c:spPr>
          <c:txPr>
            <a:bodyPr rot="-54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title>
        <c:numFmt formatCode="0.00" sourceLinked="1"/>
        <c:majorTickMark val="out"/>
        <c:minorTickMark val="none"/>
        <c:tickLblPos val="nextTo"/>
        <c:crossAx val="1217936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Report!PivotTable6</c:name>
    <c:fmtId val="32"/>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296546740501941E-2"/>
          <c:y val="0"/>
          <c:w val="0.94700240750933218"/>
          <c:h val="0.92433258342707159"/>
        </c:manualLayout>
      </c:layout>
      <c:areaChart>
        <c:grouping val="standard"/>
        <c:varyColors val="0"/>
        <c:ser>
          <c:idx val="0"/>
          <c:order val="0"/>
          <c:tx>
            <c:strRef>
              <c:f>'Pivot Report'!$M$4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Report'!$L$5:$L$35</c:f>
              <c:strCache>
                <c:ptCount val="30"/>
                <c:pt idx="0">
                  <c:v>1-Aug</c:v>
                </c:pt>
                <c:pt idx="1">
                  <c:v>2-Aug</c:v>
                </c:pt>
                <c:pt idx="2">
                  <c:v>3-Aug</c:v>
                </c:pt>
                <c:pt idx="3">
                  <c:v>4-Aug</c:v>
                </c:pt>
                <c:pt idx="4">
                  <c:v>5-Aug</c:v>
                </c:pt>
                <c:pt idx="5">
                  <c:v>6-Aug</c:v>
                </c:pt>
                <c:pt idx="6">
                  <c:v>8-Aug</c:v>
                </c:pt>
                <c:pt idx="7">
                  <c:v>9-Aug</c:v>
                </c:pt>
                <c:pt idx="8">
                  <c:v>10-Aug</c:v>
                </c:pt>
                <c:pt idx="9">
                  <c:v>11-Aug</c:v>
                </c:pt>
                <c:pt idx="10">
                  <c:v>12-Aug</c:v>
                </c:pt>
                <c:pt idx="11">
                  <c:v>13-Aug</c:v>
                </c:pt>
                <c:pt idx="12">
                  <c:v>14-Aug</c:v>
                </c:pt>
                <c:pt idx="13">
                  <c:v>15-Aug</c:v>
                </c:pt>
                <c:pt idx="14">
                  <c:v>16-Aug</c:v>
                </c:pt>
                <c:pt idx="15">
                  <c:v>17-Aug</c:v>
                </c:pt>
                <c:pt idx="16">
                  <c:v>18-Aug</c:v>
                </c:pt>
                <c:pt idx="17">
                  <c:v>19-Aug</c:v>
                </c:pt>
                <c:pt idx="18">
                  <c:v>20-Aug</c:v>
                </c:pt>
                <c:pt idx="19">
                  <c:v>21-Aug</c:v>
                </c:pt>
                <c:pt idx="20">
                  <c:v>22-Aug</c:v>
                </c:pt>
                <c:pt idx="21">
                  <c:v>23-Aug</c:v>
                </c:pt>
                <c:pt idx="22">
                  <c:v>24-Aug</c:v>
                </c:pt>
                <c:pt idx="23">
                  <c:v>25-Aug</c:v>
                </c:pt>
                <c:pt idx="24">
                  <c:v>26-Aug</c:v>
                </c:pt>
                <c:pt idx="25">
                  <c:v>27-Aug</c:v>
                </c:pt>
                <c:pt idx="26">
                  <c:v>28-Aug</c:v>
                </c:pt>
                <c:pt idx="27">
                  <c:v>29-Aug</c:v>
                </c:pt>
                <c:pt idx="28">
                  <c:v>30-Aug</c:v>
                </c:pt>
                <c:pt idx="29">
                  <c:v>31-Aug</c:v>
                </c:pt>
              </c:strCache>
            </c:strRef>
          </c:cat>
          <c:val>
            <c:numRef>
              <c:f>'Pivot Report'!$M$5:$M$35</c:f>
              <c:numCache>
                <c:formatCode>0.00</c:formatCode>
                <c:ptCount val="30"/>
                <c:pt idx="0">
                  <c:v>4.5</c:v>
                </c:pt>
                <c:pt idx="1">
                  <c:v>4.666666666666667</c:v>
                </c:pt>
                <c:pt idx="2">
                  <c:v>7.4</c:v>
                </c:pt>
                <c:pt idx="3">
                  <c:v>4.5</c:v>
                </c:pt>
                <c:pt idx="4">
                  <c:v>4.8</c:v>
                </c:pt>
                <c:pt idx="5">
                  <c:v>4.75</c:v>
                </c:pt>
                <c:pt idx="6">
                  <c:v>2.25</c:v>
                </c:pt>
                <c:pt idx="7">
                  <c:v>4</c:v>
                </c:pt>
                <c:pt idx="8">
                  <c:v>6.666666666666667</c:v>
                </c:pt>
                <c:pt idx="9">
                  <c:v>2.6666666666666665</c:v>
                </c:pt>
                <c:pt idx="10">
                  <c:v>3.6666666666666665</c:v>
                </c:pt>
                <c:pt idx="11">
                  <c:v>4</c:v>
                </c:pt>
                <c:pt idx="12">
                  <c:v>7.5</c:v>
                </c:pt>
                <c:pt idx="13">
                  <c:v>5.5</c:v>
                </c:pt>
                <c:pt idx="14">
                  <c:v>7.5</c:v>
                </c:pt>
                <c:pt idx="15">
                  <c:v>5</c:v>
                </c:pt>
                <c:pt idx="16">
                  <c:v>3.5</c:v>
                </c:pt>
                <c:pt idx="17">
                  <c:v>6.5</c:v>
                </c:pt>
                <c:pt idx="18">
                  <c:v>5.833333333333333</c:v>
                </c:pt>
                <c:pt idx="19">
                  <c:v>4.5</c:v>
                </c:pt>
                <c:pt idx="20">
                  <c:v>3.75</c:v>
                </c:pt>
                <c:pt idx="21">
                  <c:v>10</c:v>
                </c:pt>
                <c:pt idx="22">
                  <c:v>4</c:v>
                </c:pt>
                <c:pt idx="23">
                  <c:v>8.3333333333333339</c:v>
                </c:pt>
                <c:pt idx="24">
                  <c:v>3.25</c:v>
                </c:pt>
                <c:pt idx="25">
                  <c:v>6</c:v>
                </c:pt>
                <c:pt idx="26">
                  <c:v>6</c:v>
                </c:pt>
                <c:pt idx="27">
                  <c:v>3.3333333333333335</c:v>
                </c:pt>
                <c:pt idx="28">
                  <c:v>6.666666666666667</c:v>
                </c:pt>
                <c:pt idx="29">
                  <c:v>5.625</c:v>
                </c:pt>
              </c:numCache>
            </c:numRef>
          </c:val>
          <c:extLst>
            <c:ext xmlns:c16="http://schemas.microsoft.com/office/drawing/2014/chart" uri="{C3380CC4-5D6E-409C-BE32-E72D297353CC}">
              <c16:uniqueId val="{00000000-44A6-49EB-A9CF-364DCE5B33E6}"/>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61071263"/>
        <c:axId val="161079423"/>
      </c:areaChart>
      <c:catAx>
        <c:axId val="161071263"/>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800" b="0" i="0" u="none" strike="noStrike" kern="1200" baseline="0">
                <a:solidFill>
                  <a:schemeClr val="lt1"/>
                </a:solidFill>
                <a:latin typeface="+mn-lt"/>
                <a:ea typeface="+mn-ea"/>
                <a:cs typeface="+mn-cs"/>
              </a:defRPr>
            </a:pPr>
            <a:endParaRPr lang="en-US"/>
          </a:p>
        </c:txPr>
        <c:crossAx val="161079423"/>
        <c:crosses val="autoZero"/>
        <c:auto val="1"/>
        <c:lblAlgn val="ctr"/>
        <c:lblOffset val="100"/>
        <c:noMultiLvlLbl val="0"/>
      </c:catAx>
      <c:valAx>
        <c:axId val="161079423"/>
        <c:scaling>
          <c:orientation val="minMax"/>
        </c:scaling>
        <c:delete val="1"/>
        <c:axPos val="l"/>
        <c:title>
          <c:overlay val="0"/>
          <c:spPr>
            <a:noFill/>
            <a:ln>
              <a:noFill/>
            </a:ln>
            <a:effectLst/>
          </c:spPr>
          <c:txPr>
            <a:bodyPr rot="-54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title>
        <c:numFmt formatCode="0.00" sourceLinked="1"/>
        <c:majorTickMark val="out"/>
        <c:minorTickMark val="none"/>
        <c:tickLblPos val="nextTo"/>
        <c:crossAx val="161071263"/>
        <c:crosses val="autoZero"/>
        <c:crossBetween val="midCat"/>
      </c:valAx>
      <c:spPr>
        <a:solidFill>
          <a:schemeClr val="accent1">
            <a:lumMod val="75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s'!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t trends'!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2.svg"/></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30480</xdr:colOff>
      <xdr:row>44</xdr:row>
      <xdr:rowOff>152400</xdr:rowOff>
    </xdr:from>
    <xdr:to>
      <xdr:col>3</xdr:col>
      <xdr:colOff>1485900</xdr:colOff>
      <xdr:row>47</xdr:row>
      <xdr:rowOff>0</xdr:rowOff>
    </xdr:to>
    <xdr:graphicFrame macro="">
      <xdr:nvGraphicFramePr>
        <xdr:cNvPr id="2" name="Chart 1">
          <a:extLst>
            <a:ext uri="{FF2B5EF4-FFF2-40B4-BE49-F238E27FC236}">
              <a16:creationId xmlns:a16="http://schemas.microsoft.com/office/drawing/2014/main" id="{66C35030-F97B-DE1E-1F53-E572F90A5D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52451</xdr:colOff>
      <xdr:row>0</xdr:row>
      <xdr:rowOff>0</xdr:rowOff>
    </xdr:from>
    <xdr:to>
      <xdr:col>11</xdr:col>
      <xdr:colOff>409503</xdr:colOff>
      <xdr:row>16</xdr:row>
      <xdr:rowOff>8709</xdr:rowOff>
    </xdr:to>
    <xdr:sp macro="" textlink="">
      <xdr:nvSpPr>
        <xdr:cNvPr id="6" name="Rectangle: Rounded Corners 5">
          <a:extLst>
            <a:ext uri="{FF2B5EF4-FFF2-40B4-BE49-F238E27FC236}">
              <a16:creationId xmlns:a16="http://schemas.microsoft.com/office/drawing/2014/main" id="{09A0B507-B33E-F21A-9128-59770F88B5ED}"/>
            </a:ext>
          </a:extLst>
        </xdr:cNvPr>
        <xdr:cNvSpPr/>
      </xdr:nvSpPr>
      <xdr:spPr>
        <a:xfrm>
          <a:off x="52451" y="0"/>
          <a:ext cx="7053018" cy="2951606"/>
        </a:xfrm>
        <a:prstGeom prst="roundRect">
          <a:avLst>
            <a:gd name="adj" fmla="val 1979"/>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65686</xdr:colOff>
      <xdr:row>0</xdr:row>
      <xdr:rowOff>56932</xdr:rowOff>
    </xdr:from>
    <xdr:to>
      <xdr:col>5</xdr:col>
      <xdr:colOff>249618</xdr:colOff>
      <xdr:row>2</xdr:row>
      <xdr:rowOff>179552</xdr:rowOff>
    </xdr:to>
    <xdr:sp macro="" textlink="">
      <xdr:nvSpPr>
        <xdr:cNvPr id="2" name="Rectangle: Rounded Corners 1">
          <a:extLst>
            <a:ext uri="{FF2B5EF4-FFF2-40B4-BE49-F238E27FC236}">
              <a16:creationId xmlns:a16="http://schemas.microsoft.com/office/drawing/2014/main" id="{2C58A03A-B4B0-0BC1-F98C-C5C250B1B534}"/>
            </a:ext>
          </a:extLst>
        </xdr:cNvPr>
        <xdr:cNvSpPr/>
      </xdr:nvSpPr>
      <xdr:spPr>
        <a:xfrm>
          <a:off x="65686" y="56932"/>
          <a:ext cx="3231932" cy="488380"/>
        </a:xfrm>
        <a:prstGeom prst="roundRect">
          <a:avLst>
            <a:gd name="adj" fmla="val 1521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280275</xdr:colOff>
      <xdr:row>0</xdr:row>
      <xdr:rowOff>52552</xdr:rowOff>
    </xdr:from>
    <xdr:to>
      <xdr:col>7</xdr:col>
      <xdr:colOff>26276</xdr:colOff>
      <xdr:row>3</xdr:row>
      <xdr:rowOff>8759</xdr:rowOff>
    </xdr:to>
    <xdr:sp macro="" textlink="">
      <xdr:nvSpPr>
        <xdr:cNvPr id="4" name="Rectangle: Rounded Corners 3">
          <a:extLst>
            <a:ext uri="{FF2B5EF4-FFF2-40B4-BE49-F238E27FC236}">
              <a16:creationId xmlns:a16="http://schemas.microsoft.com/office/drawing/2014/main" id="{6FA8351F-6D2C-F791-3B1F-5887117AE5A6}"/>
            </a:ext>
          </a:extLst>
        </xdr:cNvPr>
        <xdr:cNvSpPr/>
      </xdr:nvSpPr>
      <xdr:spPr>
        <a:xfrm>
          <a:off x="3323896" y="52552"/>
          <a:ext cx="963449" cy="508000"/>
        </a:xfrm>
        <a:prstGeom prst="roundRect">
          <a:avLst>
            <a:gd name="adj" fmla="val 1788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78826</xdr:colOff>
      <xdr:row>0</xdr:row>
      <xdr:rowOff>52552</xdr:rowOff>
    </xdr:from>
    <xdr:to>
      <xdr:col>9</xdr:col>
      <xdr:colOff>153276</xdr:colOff>
      <xdr:row>6</xdr:row>
      <xdr:rowOff>78827</xdr:rowOff>
    </xdr:to>
    <xdr:sp macro="" textlink="">
      <xdr:nvSpPr>
        <xdr:cNvPr id="5" name="Rectangle: Rounded Corners 4">
          <a:extLst>
            <a:ext uri="{FF2B5EF4-FFF2-40B4-BE49-F238E27FC236}">
              <a16:creationId xmlns:a16="http://schemas.microsoft.com/office/drawing/2014/main" id="{40B5C54F-37D2-0687-6ABF-8C32C0DDC132}"/>
            </a:ext>
          </a:extLst>
        </xdr:cNvPr>
        <xdr:cNvSpPr/>
      </xdr:nvSpPr>
      <xdr:spPr>
        <a:xfrm>
          <a:off x="4346026" y="52552"/>
          <a:ext cx="1293650" cy="1123555"/>
        </a:xfrm>
        <a:prstGeom prst="roundRect">
          <a:avLst>
            <a:gd name="adj" fmla="val 843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0</xdr:col>
      <xdr:colOff>87460</xdr:colOff>
      <xdr:row>3</xdr:row>
      <xdr:rowOff>34835</xdr:rowOff>
    </xdr:from>
    <xdr:to>
      <xdr:col>1</xdr:col>
      <xdr:colOff>52251</xdr:colOff>
      <xdr:row>15</xdr:row>
      <xdr:rowOff>13063</xdr:rowOff>
    </xdr:to>
    <xdr:sp macro="" textlink="">
      <xdr:nvSpPr>
        <xdr:cNvPr id="9" name="Rectangle: Rounded Corners 8">
          <a:extLst>
            <a:ext uri="{FF2B5EF4-FFF2-40B4-BE49-F238E27FC236}">
              <a16:creationId xmlns:a16="http://schemas.microsoft.com/office/drawing/2014/main" id="{A5144193-66F0-D0CC-50B0-2849275C42BB}"/>
            </a:ext>
          </a:extLst>
        </xdr:cNvPr>
        <xdr:cNvSpPr/>
      </xdr:nvSpPr>
      <xdr:spPr>
        <a:xfrm>
          <a:off x="87460" y="583475"/>
          <a:ext cx="574391" cy="2172788"/>
        </a:xfrm>
        <a:prstGeom prst="roundRect">
          <a:avLst>
            <a:gd name="adj" fmla="val 1130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109229</xdr:colOff>
      <xdr:row>3</xdr:row>
      <xdr:rowOff>39819</xdr:rowOff>
    </xdr:from>
    <xdr:to>
      <xdr:col>3</xdr:col>
      <xdr:colOff>44108</xdr:colOff>
      <xdr:row>7</xdr:row>
      <xdr:rowOff>8711</xdr:rowOff>
    </xdr:to>
    <xdr:sp macro="" textlink="">
      <xdr:nvSpPr>
        <xdr:cNvPr id="10" name="Rectangle: Rounded Corners 9">
          <a:extLst>
            <a:ext uri="{FF2B5EF4-FFF2-40B4-BE49-F238E27FC236}">
              <a16:creationId xmlns:a16="http://schemas.microsoft.com/office/drawing/2014/main" id="{2FB9E23C-9E02-B2EE-8F6A-4D3A13F091B2}"/>
            </a:ext>
          </a:extLst>
        </xdr:cNvPr>
        <xdr:cNvSpPr/>
      </xdr:nvSpPr>
      <xdr:spPr>
        <a:xfrm>
          <a:off x="718829" y="588459"/>
          <a:ext cx="1154079" cy="700412"/>
        </a:xfrm>
        <a:prstGeom prst="roundRect">
          <a:avLst>
            <a:gd name="adj" fmla="val 1130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100238</xdr:colOff>
      <xdr:row>3</xdr:row>
      <xdr:rowOff>39818</xdr:rowOff>
    </xdr:from>
    <xdr:to>
      <xdr:col>5</xdr:col>
      <xdr:colOff>35117</xdr:colOff>
      <xdr:row>7</xdr:row>
      <xdr:rowOff>8710</xdr:rowOff>
    </xdr:to>
    <xdr:sp macro="" textlink="">
      <xdr:nvSpPr>
        <xdr:cNvPr id="13" name="Rectangle: Rounded Corners 12">
          <a:extLst>
            <a:ext uri="{FF2B5EF4-FFF2-40B4-BE49-F238E27FC236}">
              <a16:creationId xmlns:a16="http://schemas.microsoft.com/office/drawing/2014/main" id="{9EBE77EB-E9D1-5B44-293C-8121A1FA57F1}"/>
            </a:ext>
          </a:extLst>
        </xdr:cNvPr>
        <xdr:cNvSpPr/>
      </xdr:nvSpPr>
      <xdr:spPr>
        <a:xfrm>
          <a:off x="1929038" y="588458"/>
          <a:ext cx="1154079" cy="700412"/>
        </a:xfrm>
        <a:prstGeom prst="roundRect">
          <a:avLst>
            <a:gd name="adj" fmla="val 1130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99955</xdr:colOff>
      <xdr:row>3</xdr:row>
      <xdr:rowOff>39818</xdr:rowOff>
    </xdr:from>
    <xdr:to>
      <xdr:col>7</xdr:col>
      <xdr:colOff>34834</xdr:colOff>
      <xdr:row>7</xdr:row>
      <xdr:rowOff>8710</xdr:rowOff>
    </xdr:to>
    <xdr:sp macro="" textlink="">
      <xdr:nvSpPr>
        <xdr:cNvPr id="14" name="Rectangle: Rounded Corners 13">
          <a:extLst>
            <a:ext uri="{FF2B5EF4-FFF2-40B4-BE49-F238E27FC236}">
              <a16:creationId xmlns:a16="http://schemas.microsoft.com/office/drawing/2014/main" id="{CAB9A518-923C-9D7D-10C1-7024F0D28E71}"/>
            </a:ext>
          </a:extLst>
        </xdr:cNvPr>
        <xdr:cNvSpPr/>
      </xdr:nvSpPr>
      <xdr:spPr>
        <a:xfrm>
          <a:off x="3147955" y="588458"/>
          <a:ext cx="1154079" cy="700412"/>
        </a:xfrm>
        <a:prstGeom prst="roundRect">
          <a:avLst>
            <a:gd name="adj" fmla="val 1130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100521</xdr:colOff>
      <xdr:row>9</xdr:row>
      <xdr:rowOff>134983</xdr:rowOff>
    </xdr:from>
    <xdr:to>
      <xdr:col>7</xdr:col>
      <xdr:colOff>56606</xdr:colOff>
      <xdr:row>14</xdr:row>
      <xdr:rowOff>182879</xdr:rowOff>
    </xdr:to>
    <xdr:sp macro="" textlink="">
      <xdr:nvSpPr>
        <xdr:cNvPr id="18" name="Rectangle: Rounded Corners 17">
          <a:extLst>
            <a:ext uri="{FF2B5EF4-FFF2-40B4-BE49-F238E27FC236}">
              <a16:creationId xmlns:a16="http://schemas.microsoft.com/office/drawing/2014/main" id="{8633689E-B1AA-142E-E77A-E044B9C2C81B}"/>
            </a:ext>
          </a:extLst>
        </xdr:cNvPr>
        <xdr:cNvSpPr/>
      </xdr:nvSpPr>
      <xdr:spPr>
        <a:xfrm>
          <a:off x="710121" y="1780903"/>
          <a:ext cx="3613685" cy="962296"/>
        </a:xfrm>
        <a:prstGeom prst="roundRect">
          <a:avLst>
            <a:gd name="adj" fmla="val 1130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100149</xdr:colOff>
      <xdr:row>6</xdr:row>
      <xdr:rowOff>130629</xdr:rowOff>
    </xdr:from>
    <xdr:to>
      <xdr:col>11</xdr:col>
      <xdr:colOff>296091</xdr:colOff>
      <xdr:row>15</xdr:row>
      <xdr:rowOff>8709</xdr:rowOff>
    </xdr:to>
    <xdr:sp macro="" textlink="">
      <xdr:nvSpPr>
        <xdr:cNvPr id="30" name="Rectangle: Rounded Corners 29">
          <a:extLst>
            <a:ext uri="{FF2B5EF4-FFF2-40B4-BE49-F238E27FC236}">
              <a16:creationId xmlns:a16="http://schemas.microsoft.com/office/drawing/2014/main" id="{30DBD045-F80B-90ED-B3B7-3873D2A904AF}"/>
            </a:ext>
          </a:extLst>
        </xdr:cNvPr>
        <xdr:cNvSpPr/>
      </xdr:nvSpPr>
      <xdr:spPr>
        <a:xfrm>
          <a:off x="4367349" y="1227909"/>
          <a:ext cx="2634342" cy="1524000"/>
        </a:xfrm>
        <a:prstGeom prst="roundRect">
          <a:avLst>
            <a:gd name="adj" fmla="val 1579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9</xdr:col>
      <xdr:colOff>205100</xdr:colOff>
      <xdr:row>0</xdr:row>
      <xdr:rowOff>52552</xdr:rowOff>
    </xdr:from>
    <xdr:to>
      <xdr:col>11</xdr:col>
      <xdr:colOff>279550</xdr:colOff>
      <xdr:row>6</xdr:row>
      <xdr:rowOff>78827</xdr:rowOff>
    </xdr:to>
    <xdr:sp macro="" textlink="">
      <xdr:nvSpPr>
        <xdr:cNvPr id="31" name="Rectangle: Rounded Corners 30">
          <a:extLst>
            <a:ext uri="{FF2B5EF4-FFF2-40B4-BE49-F238E27FC236}">
              <a16:creationId xmlns:a16="http://schemas.microsoft.com/office/drawing/2014/main" id="{C6571441-63D7-FF1D-7677-59F762AC2325}"/>
            </a:ext>
          </a:extLst>
        </xdr:cNvPr>
        <xdr:cNvSpPr/>
      </xdr:nvSpPr>
      <xdr:spPr>
        <a:xfrm>
          <a:off x="5691500" y="52552"/>
          <a:ext cx="1293650" cy="1123555"/>
        </a:xfrm>
        <a:prstGeom prst="roundRect">
          <a:avLst>
            <a:gd name="adj" fmla="val 843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1</xdr:col>
      <xdr:colOff>65690</xdr:colOff>
      <xdr:row>0</xdr:row>
      <xdr:rowOff>121920</xdr:rowOff>
    </xdr:from>
    <xdr:to>
      <xdr:col>5</xdr:col>
      <xdr:colOff>179550</xdr:colOff>
      <xdr:row>1</xdr:row>
      <xdr:rowOff>143691</xdr:rowOff>
    </xdr:to>
    <xdr:sp macro="" textlink="">
      <xdr:nvSpPr>
        <xdr:cNvPr id="7" name="TextBox 6">
          <a:extLst>
            <a:ext uri="{FF2B5EF4-FFF2-40B4-BE49-F238E27FC236}">
              <a16:creationId xmlns:a16="http://schemas.microsoft.com/office/drawing/2014/main" id="{FE44FB6E-CE13-967C-4A77-218CAFE5D49D}"/>
            </a:ext>
          </a:extLst>
        </xdr:cNvPr>
        <xdr:cNvSpPr txBox="1"/>
      </xdr:nvSpPr>
      <xdr:spPr>
        <a:xfrm>
          <a:off x="674414" y="121920"/>
          <a:ext cx="2548757" cy="205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solidFill>
                <a:schemeClr val="accent1">
                  <a:lumMod val="50000"/>
                </a:schemeClr>
              </a:solidFill>
              <a:latin typeface="Aptos narrow" panose="020F0502020204030204" pitchFamily="34" charset="0"/>
            </a:rPr>
            <a:t>Hospital</a:t>
          </a:r>
          <a:r>
            <a:rPr lang="en-IN" sz="1200" b="1" baseline="0">
              <a:solidFill>
                <a:schemeClr val="accent1">
                  <a:lumMod val="50000"/>
                </a:schemeClr>
              </a:solidFill>
              <a:latin typeface="Aptos narrow" panose="020F0502020204030204" pitchFamily="34" charset="0"/>
            </a:rPr>
            <a:t> Emergency Room Dashboard</a:t>
          </a:r>
          <a:endParaRPr lang="en-IN" sz="1200" b="1">
            <a:solidFill>
              <a:schemeClr val="accent1">
                <a:lumMod val="50000"/>
              </a:schemeClr>
            </a:solidFill>
            <a:latin typeface="Aptos narrow" panose="020F0502020204030204" pitchFamily="34" charset="0"/>
          </a:endParaRPr>
        </a:p>
      </xdr:txBody>
    </xdr:sp>
    <xdr:clientData/>
  </xdr:twoCellAnchor>
  <xdr:twoCellAnchor editAs="oneCell">
    <xdr:from>
      <xdr:col>0</xdr:col>
      <xdr:colOff>97996</xdr:colOff>
      <xdr:row>0</xdr:row>
      <xdr:rowOff>16671</xdr:rowOff>
    </xdr:from>
    <xdr:to>
      <xdr:col>1</xdr:col>
      <xdr:colOff>92769</xdr:colOff>
      <xdr:row>2</xdr:row>
      <xdr:rowOff>169817</xdr:rowOff>
    </xdr:to>
    <xdr:pic>
      <xdr:nvPicPr>
        <xdr:cNvPr id="12" name="Picture 11">
          <a:extLst>
            <a:ext uri="{FF2B5EF4-FFF2-40B4-BE49-F238E27FC236}">
              <a16:creationId xmlns:a16="http://schemas.microsoft.com/office/drawing/2014/main" id="{3B990585-1BB5-CC78-EF6F-E99B58C4F2A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1519" t="1055" r="15821" b="9233"/>
        <a:stretch>
          <a:fillRect/>
        </a:stretch>
      </xdr:blipFill>
      <xdr:spPr>
        <a:xfrm>
          <a:off x="97996" y="16671"/>
          <a:ext cx="604373" cy="518906"/>
        </a:xfrm>
        <a:prstGeom prst="rect">
          <a:avLst/>
        </a:prstGeom>
      </xdr:spPr>
    </xdr:pic>
    <xdr:clientData/>
  </xdr:twoCellAnchor>
  <xdr:twoCellAnchor editAs="absolute">
    <xdr:from>
      <xdr:col>1</xdr:col>
      <xdr:colOff>179552</xdr:colOff>
      <xdr:row>1</xdr:row>
      <xdr:rowOff>130629</xdr:rowOff>
    </xdr:from>
    <xdr:to>
      <xdr:col>5</xdr:col>
      <xdr:colOff>135758</xdr:colOff>
      <xdr:row>2</xdr:row>
      <xdr:rowOff>100149</xdr:rowOff>
    </xdr:to>
    <xdr:sp macro="" textlink="">
      <xdr:nvSpPr>
        <xdr:cNvPr id="15" name="TextBox 14">
          <a:extLst>
            <a:ext uri="{FF2B5EF4-FFF2-40B4-BE49-F238E27FC236}">
              <a16:creationId xmlns:a16="http://schemas.microsoft.com/office/drawing/2014/main" id="{09704FB5-BDD9-85F5-AF43-38D22C5813C0}"/>
            </a:ext>
          </a:extLst>
        </xdr:cNvPr>
        <xdr:cNvSpPr txBox="1"/>
      </xdr:nvSpPr>
      <xdr:spPr>
        <a:xfrm>
          <a:off x="788276" y="314560"/>
          <a:ext cx="2391103" cy="153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b="1">
              <a:solidFill>
                <a:schemeClr val="accent1">
                  <a:lumMod val="50000"/>
                </a:schemeClr>
              </a:solidFill>
              <a:latin typeface="Aptos narrow" panose="020F0502020204030204" pitchFamily="34" charset="0"/>
            </a:rPr>
            <a:t>Monthly</a:t>
          </a:r>
          <a:r>
            <a:rPr lang="en-IN" sz="900" b="1" baseline="0">
              <a:solidFill>
                <a:schemeClr val="accent1">
                  <a:lumMod val="50000"/>
                </a:schemeClr>
              </a:solidFill>
              <a:latin typeface="Aptos narrow" panose="020F0502020204030204" pitchFamily="34" charset="0"/>
            </a:rPr>
            <a:t> Report</a:t>
          </a:r>
          <a:endParaRPr lang="en-IN" sz="900" b="1">
            <a:solidFill>
              <a:schemeClr val="accent1">
                <a:lumMod val="50000"/>
              </a:schemeClr>
            </a:solidFill>
            <a:latin typeface="Aptos narrow" panose="020F0502020204030204" pitchFamily="34" charset="0"/>
          </a:endParaRPr>
        </a:p>
      </xdr:txBody>
    </xdr:sp>
    <xdr:clientData/>
  </xdr:twoCellAnchor>
  <xdr:twoCellAnchor editAs="absolute">
    <xdr:from>
      <xdr:col>1</xdr:col>
      <xdr:colOff>104502</xdr:colOff>
      <xdr:row>3</xdr:row>
      <xdr:rowOff>95794</xdr:rowOff>
    </xdr:from>
    <xdr:to>
      <xdr:col>3</xdr:col>
      <xdr:colOff>47895</xdr:colOff>
      <xdr:row>4</xdr:row>
      <xdr:rowOff>65314</xdr:rowOff>
    </xdr:to>
    <xdr:sp macro="" textlink="'Pivot Report'!A5">
      <xdr:nvSpPr>
        <xdr:cNvPr id="20" name="TextBox 19">
          <a:extLst>
            <a:ext uri="{FF2B5EF4-FFF2-40B4-BE49-F238E27FC236}">
              <a16:creationId xmlns:a16="http://schemas.microsoft.com/office/drawing/2014/main" id="{1470D083-8D59-38F2-3841-362717B54005}"/>
            </a:ext>
          </a:extLst>
        </xdr:cNvPr>
        <xdr:cNvSpPr txBox="1"/>
      </xdr:nvSpPr>
      <xdr:spPr>
        <a:xfrm>
          <a:off x="714102" y="644434"/>
          <a:ext cx="1162593"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7D12B5CC-4A2C-4B3D-9206-0F92BC046EEA}" type="TxLink">
            <a:rPr lang="en-US" sz="1100" b="1" i="0" u="none" strike="noStrike">
              <a:solidFill>
                <a:schemeClr val="accent1">
                  <a:lumMod val="50000"/>
                </a:schemeClr>
              </a:solidFill>
              <a:latin typeface="Calibri"/>
              <a:ea typeface="Calibri"/>
              <a:cs typeface="Calibri"/>
            </a:rPr>
            <a:pPr algn="ctr"/>
            <a:t>530</a:t>
          </a:fld>
          <a:endParaRPr lang="en-IN" sz="900" b="1">
            <a:solidFill>
              <a:schemeClr val="accent1">
                <a:lumMod val="50000"/>
              </a:schemeClr>
            </a:solidFill>
            <a:latin typeface="Aptos narrow" panose="020F0502020204030204" pitchFamily="34" charset="0"/>
          </a:endParaRPr>
        </a:p>
      </xdr:txBody>
    </xdr:sp>
    <xdr:clientData/>
  </xdr:twoCellAnchor>
  <xdr:twoCellAnchor editAs="absolute">
    <xdr:from>
      <xdr:col>1</xdr:col>
      <xdr:colOff>104502</xdr:colOff>
      <xdr:row>4</xdr:row>
      <xdr:rowOff>60960</xdr:rowOff>
    </xdr:from>
    <xdr:to>
      <xdr:col>3</xdr:col>
      <xdr:colOff>47895</xdr:colOff>
      <xdr:row>5</xdr:row>
      <xdr:rowOff>30480</xdr:rowOff>
    </xdr:to>
    <xdr:sp macro="" textlink="">
      <xdr:nvSpPr>
        <xdr:cNvPr id="21" name="TextBox 20">
          <a:extLst>
            <a:ext uri="{FF2B5EF4-FFF2-40B4-BE49-F238E27FC236}">
              <a16:creationId xmlns:a16="http://schemas.microsoft.com/office/drawing/2014/main" id="{F2D05F24-28CD-17C1-4FE6-72C075FF0D92}"/>
            </a:ext>
          </a:extLst>
        </xdr:cNvPr>
        <xdr:cNvSpPr txBox="1"/>
      </xdr:nvSpPr>
      <xdr:spPr>
        <a:xfrm>
          <a:off x="714102" y="792480"/>
          <a:ext cx="1162593"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1">
              <a:solidFill>
                <a:schemeClr val="accent1">
                  <a:lumMod val="50000"/>
                </a:schemeClr>
              </a:solidFill>
              <a:latin typeface="Aptos narrow" panose="020F0502020204030204" pitchFamily="34" charset="0"/>
            </a:rPr>
            <a:t>No.of</a:t>
          </a:r>
          <a:r>
            <a:rPr lang="en-IN" sz="800" b="1" baseline="0">
              <a:solidFill>
                <a:schemeClr val="accent1">
                  <a:lumMod val="50000"/>
                </a:schemeClr>
              </a:solidFill>
              <a:latin typeface="Aptos narrow" panose="020F0502020204030204" pitchFamily="34" charset="0"/>
            </a:rPr>
            <a:t> Patients</a:t>
          </a:r>
          <a:endParaRPr lang="en-IN" sz="800" b="1">
            <a:solidFill>
              <a:schemeClr val="accent1">
                <a:lumMod val="50000"/>
              </a:schemeClr>
            </a:solidFill>
            <a:latin typeface="Aptos narrow" panose="020F0502020204030204" pitchFamily="34" charset="0"/>
          </a:endParaRPr>
        </a:p>
      </xdr:txBody>
    </xdr:sp>
    <xdr:clientData/>
  </xdr:twoCellAnchor>
  <xdr:twoCellAnchor editAs="absolute">
    <xdr:from>
      <xdr:col>3</xdr:col>
      <xdr:colOff>87085</xdr:colOff>
      <xdr:row>3</xdr:row>
      <xdr:rowOff>95794</xdr:rowOff>
    </xdr:from>
    <xdr:to>
      <xdr:col>5</xdr:col>
      <xdr:colOff>30478</xdr:colOff>
      <xdr:row>4</xdr:row>
      <xdr:rowOff>65314</xdr:rowOff>
    </xdr:to>
    <xdr:sp macro="" textlink="'Pivot Report'!A13">
      <xdr:nvSpPr>
        <xdr:cNvPr id="22" name="TextBox 21">
          <a:extLst>
            <a:ext uri="{FF2B5EF4-FFF2-40B4-BE49-F238E27FC236}">
              <a16:creationId xmlns:a16="http://schemas.microsoft.com/office/drawing/2014/main" id="{6B2D6CB9-34F4-37B1-3362-E1B3A5E73536}"/>
            </a:ext>
          </a:extLst>
        </xdr:cNvPr>
        <xdr:cNvSpPr txBox="1"/>
      </xdr:nvSpPr>
      <xdr:spPr>
        <a:xfrm>
          <a:off x="1915885" y="644434"/>
          <a:ext cx="1162593"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FEFC2D1E-96F7-4428-B5B5-199B0B0E5B04}" type="TxLink">
            <a:rPr lang="en-US" sz="1100" b="1" i="0" u="none" strike="noStrike">
              <a:solidFill>
                <a:schemeClr val="accent1">
                  <a:lumMod val="50000"/>
                </a:schemeClr>
              </a:solidFill>
              <a:latin typeface="Calibri"/>
              <a:ea typeface="Calibri"/>
              <a:cs typeface="Calibri"/>
            </a:rPr>
            <a:pPr algn="ctr"/>
            <a:t>35.11</a:t>
          </a:fld>
          <a:endParaRPr lang="en-IN" sz="900" b="1">
            <a:solidFill>
              <a:schemeClr val="accent1">
                <a:lumMod val="50000"/>
              </a:schemeClr>
            </a:solidFill>
            <a:latin typeface="Aptos narrow" panose="020F0502020204030204" pitchFamily="34" charset="0"/>
          </a:endParaRPr>
        </a:p>
      </xdr:txBody>
    </xdr:sp>
    <xdr:clientData/>
  </xdr:twoCellAnchor>
  <xdr:twoCellAnchor editAs="absolute">
    <xdr:from>
      <xdr:col>3</xdr:col>
      <xdr:colOff>87085</xdr:colOff>
      <xdr:row>4</xdr:row>
      <xdr:rowOff>60960</xdr:rowOff>
    </xdr:from>
    <xdr:to>
      <xdr:col>5</xdr:col>
      <xdr:colOff>30478</xdr:colOff>
      <xdr:row>5</xdr:row>
      <xdr:rowOff>30480</xdr:rowOff>
    </xdr:to>
    <xdr:sp macro="" textlink="">
      <xdr:nvSpPr>
        <xdr:cNvPr id="23" name="TextBox 22">
          <a:extLst>
            <a:ext uri="{FF2B5EF4-FFF2-40B4-BE49-F238E27FC236}">
              <a16:creationId xmlns:a16="http://schemas.microsoft.com/office/drawing/2014/main" id="{5816A2D6-02A4-1C4D-3914-9FF22C7AF0CB}"/>
            </a:ext>
          </a:extLst>
        </xdr:cNvPr>
        <xdr:cNvSpPr txBox="1"/>
      </xdr:nvSpPr>
      <xdr:spPr>
        <a:xfrm>
          <a:off x="1915885" y="792480"/>
          <a:ext cx="1162593"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1">
              <a:solidFill>
                <a:schemeClr val="accent1">
                  <a:lumMod val="50000"/>
                </a:schemeClr>
              </a:solidFill>
              <a:latin typeface="Aptos narrow" panose="020F0502020204030204" pitchFamily="34" charset="0"/>
            </a:rPr>
            <a:t>Average</a:t>
          </a:r>
          <a:r>
            <a:rPr lang="en-IN" sz="800" b="1" baseline="0">
              <a:solidFill>
                <a:schemeClr val="accent1">
                  <a:lumMod val="50000"/>
                </a:schemeClr>
              </a:solidFill>
              <a:latin typeface="Aptos narrow" panose="020F0502020204030204" pitchFamily="34" charset="0"/>
            </a:rPr>
            <a:t> Wait Time</a:t>
          </a:r>
          <a:endParaRPr lang="en-IN" sz="800" b="1">
            <a:solidFill>
              <a:schemeClr val="accent1">
                <a:lumMod val="50000"/>
              </a:schemeClr>
            </a:solidFill>
            <a:latin typeface="Aptos narrow" panose="020F0502020204030204" pitchFamily="34" charset="0"/>
          </a:endParaRPr>
        </a:p>
      </xdr:txBody>
    </xdr:sp>
    <xdr:clientData/>
  </xdr:twoCellAnchor>
  <xdr:twoCellAnchor editAs="absolute">
    <xdr:from>
      <xdr:col>5</xdr:col>
      <xdr:colOff>69668</xdr:colOff>
      <xdr:row>3</xdr:row>
      <xdr:rowOff>95794</xdr:rowOff>
    </xdr:from>
    <xdr:to>
      <xdr:col>7</xdr:col>
      <xdr:colOff>13061</xdr:colOff>
      <xdr:row>4</xdr:row>
      <xdr:rowOff>65314</xdr:rowOff>
    </xdr:to>
    <xdr:sp macro="" textlink="'Pivot Report'!A19">
      <xdr:nvSpPr>
        <xdr:cNvPr id="24" name="TextBox 23">
          <a:extLst>
            <a:ext uri="{FF2B5EF4-FFF2-40B4-BE49-F238E27FC236}">
              <a16:creationId xmlns:a16="http://schemas.microsoft.com/office/drawing/2014/main" id="{5A2F11CF-FF16-A947-EA2D-CEAB9B06A0D9}"/>
            </a:ext>
          </a:extLst>
        </xdr:cNvPr>
        <xdr:cNvSpPr txBox="1"/>
      </xdr:nvSpPr>
      <xdr:spPr>
        <a:xfrm>
          <a:off x="3117668" y="644434"/>
          <a:ext cx="1162593"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90F542FF-3C0E-4944-9507-95E32080A47F}" type="TxLink">
            <a:rPr lang="en-US" sz="1100" b="1" i="0" u="none" strike="noStrike">
              <a:solidFill>
                <a:schemeClr val="accent1">
                  <a:lumMod val="50000"/>
                </a:schemeClr>
              </a:solidFill>
              <a:latin typeface="Calibri"/>
              <a:ea typeface="Calibri"/>
              <a:cs typeface="Calibri"/>
            </a:rPr>
            <a:pPr algn="ctr"/>
            <a:t>5.18</a:t>
          </a:fld>
          <a:endParaRPr lang="en-IN" sz="900" b="1">
            <a:solidFill>
              <a:schemeClr val="accent1">
                <a:lumMod val="50000"/>
              </a:schemeClr>
            </a:solidFill>
            <a:latin typeface="Aptos narrow" panose="020F0502020204030204" pitchFamily="34" charset="0"/>
          </a:endParaRPr>
        </a:p>
      </xdr:txBody>
    </xdr:sp>
    <xdr:clientData/>
  </xdr:twoCellAnchor>
  <xdr:twoCellAnchor editAs="absolute">
    <xdr:from>
      <xdr:col>5</xdr:col>
      <xdr:colOff>104503</xdr:colOff>
      <xdr:row>4</xdr:row>
      <xdr:rowOff>60960</xdr:rowOff>
    </xdr:from>
    <xdr:to>
      <xdr:col>7</xdr:col>
      <xdr:colOff>47896</xdr:colOff>
      <xdr:row>5</xdr:row>
      <xdr:rowOff>30480</xdr:rowOff>
    </xdr:to>
    <xdr:sp macro="" textlink="">
      <xdr:nvSpPr>
        <xdr:cNvPr id="25" name="TextBox 24">
          <a:extLst>
            <a:ext uri="{FF2B5EF4-FFF2-40B4-BE49-F238E27FC236}">
              <a16:creationId xmlns:a16="http://schemas.microsoft.com/office/drawing/2014/main" id="{D59B7C15-7F42-F898-B50E-604F70EEBC38}"/>
            </a:ext>
          </a:extLst>
        </xdr:cNvPr>
        <xdr:cNvSpPr txBox="1"/>
      </xdr:nvSpPr>
      <xdr:spPr>
        <a:xfrm>
          <a:off x="3152503" y="792480"/>
          <a:ext cx="1162593"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1">
              <a:solidFill>
                <a:schemeClr val="accent1">
                  <a:lumMod val="50000"/>
                </a:schemeClr>
              </a:solidFill>
              <a:latin typeface="Aptos narrow" panose="020F0502020204030204" pitchFamily="34" charset="0"/>
            </a:rPr>
            <a:t>Patients</a:t>
          </a:r>
          <a:r>
            <a:rPr lang="en-IN" sz="800" b="1" baseline="0">
              <a:solidFill>
                <a:schemeClr val="accent1">
                  <a:lumMod val="50000"/>
                </a:schemeClr>
              </a:solidFill>
              <a:latin typeface="Aptos narrow" panose="020F0502020204030204" pitchFamily="34" charset="0"/>
            </a:rPr>
            <a:t> </a:t>
          </a:r>
          <a:r>
            <a:rPr lang="en-IN" sz="800" b="1">
              <a:solidFill>
                <a:schemeClr val="accent1">
                  <a:lumMod val="50000"/>
                </a:schemeClr>
              </a:solidFill>
              <a:latin typeface="Aptos narrow" panose="020F0502020204030204" pitchFamily="34" charset="0"/>
            </a:rPr>
            <a:t>Satisfaction</a:t>
          </a:r>
          <a:r>
            <a:rPr lang="en-IN" sz="800" b="1" baseline="0">
              <a:solidFill>
                <a:schemeClr val="accent1">
                  <a:lumMod val="50000"/>
                </a:schemeClr>
              </a:solidFill>
              <a:latin typeface="Aptos narrow" panose="020F0502020204030204" pitchFamily="34" charset="0"/>
            </a:rPr>
            <a:t> Score</a:t>
          </a:r>
          <a:endParaRPr lang="en-IN" sz="800" b="1">
            <a:solidFill>
              <a:schemeClr val="accent1">
                <a:lumMod val="50000"/>
              </a:schemeClr>
            </a:solidFill>
            <a:latin typeface="Aptos narrow" panose="020F0502020204030204" pitchFamily="34" charset="0"/>
          </a:endParaRPr>
        </a:p>
      </xdr:txBody>
    </xdr:sp>
    <xdr:clientData/>
  </xdr:twoCellAnchor>
  <xdr:twoCellAnchor editAs="oneCell">
    <xdr:from>
      <xdr:col>2</xdr:col>
      <xdr:colOff>400595</xdr:colOff>
      <xdr:row>3</xdr:row>
      <xdr:rowOff>56607</xdr:rowOff>
    </xdr:from>
    <xdr:to>
      <xdr:col>3</xdr:col>
      <xdr:colOff>17417</xdr:colOff>
      <xdr:row>4</xdr:row>
      <xdr:rowOff>100149</xdr:rowOff>
    </xdr:to>
    <xdr:pic>
      <xdr:nvPicPr>
        <xdr:cNvPr id="27" name="Graphic 26" descr="Male profile with solid fill">
          <a:extLst>
            <a:ext uri="{FF2B5EF4-FFF2-40B4-BE49-F238E27FC236}">
              <a16:creationId xmlns:a16="http://schemas.microsoft.com/office/drawing/2014/main" id="{FE558D15-A29F-1DA0-54D5-3A9FDCDDB34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19795" y="605247"/>
          <a:ext cx="226422" cy="226422"/>
        </a:xfrm>
        <a:prstGeom prst="rect">
          <a:avLst/>
        </a:prstGeom>
      </xdr:spPr>
    </xdr:pic>
    <xdr:clientData/>
  </xdr:twoCellAnchor>
  <xdr:twoCellAnchor editAs="oneCell">
    <xdr:from>
      <xdr:col>4</xdr:col>
      <xdr:colOff>426719</xdr:colOff>
      <xdr:row>3</xdr:row>
      <xdr:rowOff>69668</xdr:rowOff>
    </xdr:from>
    <xdr:to>
      <xdr:col>5</xdr:col>
      <xdr:colOff>8708</xdr:colOff>
      <xdr:row>4</xdr:row>
      <xdr:rowOff>78377</xdr:rowOff>
    </xdr:to>
    <xdr:pic>
      <xdr:nvPicPr>
        <xdr:cNvPr id="29" name="Graphic 28" descr="Hourglass Finished with solid fill">
          <a:extLst>
            <a:ext uri="{FF2B5EF4-FFF2-40B4-BE49-F238E27FC236}">
              <a16:creationId xmlns:a16="http://schemas.microsoft.com/office/drawing/2014/main" id="{F3DF3437-E269-AAB2-90A6-C2084B893B0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865119" y="618308"/>
          <a:ext cx="191589" cy="191589"/>
        </a:xfrm>
        <a:prstGeom prst="rect">
          <a:avLst/>
        </a:prstGeom>
      </xdr:spPr>
    </xdr:pic>
    <xdr:clientData/>
  </xdr:twoCellAnchor>
  <xdr:twoCellAnchor editAs="oneCell">
    <xdr:from>
      <xdr:col>6</xdr:col>
      <xdr:colOff>398194</xdr:colOff>
      <xdr:row>3</xdr:row>
      <xdr:rowOff>69670</xdr:rowOff>
    </xdr:from>
    <xdr:to>
      <xdr:col>7</xdr:col>
      <xdr:colOff>430</xdr:colOff>
      <xdr:row>4</xdr:row>
      <xdr:rowOff>97750</xdr:rowOff>
    </xdr:to>
    <xdr:pic>
      <xdr:nvPicPr>
        <xdr:cNvPr id="33" name="Graphic 32" descr="Customer review with solid fill">
          <a:extLst>
            <a:ext uri="{FF2B5EF4-FFF2-40B4-BE49-F238E27FC236}">
              <a16:creationId xmlns:a16="http://schemas.microsoft.com/office/drawing/2014/main" id="{384C635E-0912-4AD1-ACA2-A25F62799F1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055794" y="618310"/>
          <a:ext cx="210960" cy="210960"/>
        </a:xfrm>
        <a:prstGeom prst="rect">
          <a:avLst/>
        </a:prstGeom>
      </xdr:spPr>
    </xdr:pic>
    <xdr:clientData/>
  </xdr:twoCellAnchor>
  <xdr:twoCellAnchor editAs="oneCell">
    <xdr:from>
      <xdr:col>0</xdr:col>
      <xdr:colOff>104502</xdr:colOff>
      <xdr:row>3</xdr:row>
      <xdr:rowOff>60961</xdr:rowOff>
    </xdr:from>
    <xdr:to>
      <xdr:col>1</xdr:col>
      <xdr:colOff>26352</xdr:colOff>
      <xdr:row>14</xdr:row>
      <xdr:rowOff>174172</xdr:rowOff>
    </xdr:to>
    <mc:AlternateContent xmlns:mc="http://schemas.openxmlformats.org/markup-compatibility/2006" xmlns:a14="http://schemas.microsoft.com/office/drawing/2010/main">
      <mc:Choice Requires="a14">
        <xdr:graphicFrame macro="">
          <xdr:nvGraphicFramePr>
            <xdr:cNvPr id="3" name="Date (Month)">
              <a:extLst>
                <a:ext uri="{FF2B5EF4-FFF2-40B4-BE49-F238E27FC236}">
                  <a16:creationId xmlns:a16="http://schemas.microsoft.com/office/drawing/2014/main" id="{9399ECEC-1E08-4A19-BEDF-5FE2190197BD}"/>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04502" y="609601"/>
              <a:ext cx="531450" cy="21248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60960</xdr:colOff>
      <xdr:row>3</xdr:row>
      <xdr:rowOff>152402</xdr:rowOff>
    </xdr:from>
    <xdr:to>
      <xdr:col>3</xdr:col>
      <xdr:colOff>43543</xdr:colOff>
      <xdr:row>7</xdr:row>
      <xdr:rowOff>39191</xdr:rowOff>
    </xdr:to>
    <xdr:graphicFrame macro="">
      <xdr:nvGraphicFramePr>
        <xdr:cNvPr id="11" name="Chart 10">
          <a:hlinkClick xmlns:r="http://schemas.openxmlformats.org/officeDocument/2006/relationships" r:id="rId8"/>
          <a:extLst>
            <a:ext uri="{FF2B5EF4-FFF2-40B4-BE49-F238E27FC236}">
              <a16:creationId xmlns:a16="http://schemas.microsoft.com/office/drawing/2014/main" id="{A2435249-8D90-41A9-9610-AFD583D556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522515</xdr:colOff>
      <xdr:row>4</xdr:row>
      <xdr:rowOff>8708</xdr:rowOff>
    </xdr:from>
    <xdr:to>
      <xdr:col>5</xdr:col>
      <xdr:colOff>213360</xdr:colOff>
      <xdr:row>7</xdr:row>
      <xdr:rowOff>43542</xdr:rowOff>
    </xdr:to>
    <xdr:graphicFrame macro="">
      <xdr:nvGraphicFramePr>
        <xdr:cNvPr id="8" name="Chart 7">
          <a:hlinkClick xmlns:r="http://schemas.openxmlformats.org/officeDocument/2006/relationships" r:id="rId10"/>
          <a:extLst>
            <a:ext uri="{FF2B5EF4-FFF2-40B4-BE49-F238E27FC236}">
              <a16:creationId xmlns:a16="http://schemas.microsoft.com/office/drawing/2014/main" id="{50BB598D-563B-439B-A615-2A38C8017B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52252</xdr:colOff>
      <xdr:row>5</xdr:row>
      <xdr:rowOff>4353</xdr:rowOff>
    </xdr:from>
    <xdr:to>
      <xdr:col>7</xdr:col>
      <xdr:colOff>13064</xdr:colOff>
      <xdr:row>6</xdr:row>
      <xdr:rowOff>178525</xdr:rowOff>
    </xdr:to>
    <xdr:graphicFrame macro="">
      <xdr:nvGraphicFramePr>
        <xdr:cNvPr id="16" name="Chart 15">
          <a:hlinkClick xmlns:r="http://schemas.openxmlformats.org/officeDocument/2006/relationships" r:id="rId12"/>
          <a:extLst>
            <a:ext uri="{FF2B5EF4-FFF2-40B4-BE49-F238E27FC236}">
              <a16:creationId xmlns:a16="http://schemas.microsoft.com/office/drawing/2014/main" id="{13E4335E-AB55-417B-839A-B3ACC39B44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91440</xdr:colOff>
          <xdr:row>7</xdr:row>
          <xdr:rowOff>47896</xdr:rowOff>
        </xdr:from>
        <xdr:to>
          <xdr:col>7</xdr:col>
          <xdr:colOff>60961</xdr:colOff>
          <xdr:row>9</xdr:row>
          <xdr:rowOff>95849</xdr:rowOff>
        </xdr:to>
        <xdr:pic>
          <xdr:nvPicPr>
            <xdr:cNvPr id="32" name="Picture 31">
              <a:extLst>
                <a:ext uri="{FF2B5EF4-FFF2-40B4-BE49-F238E27FC236}">
                  <a16:creationId xmlns:a16="http://schemas.microsoft.com/office/drawing/2014/main" id="{C55F6814-CF9A-80AA-DE06-B8C46C9BF0D5}"/>
                </a:ext>
              </a:extLst>
            </xdr:cNvPr>
            <xdr:cNvPicPr>
              <a:picLocks noChangeAspect="1" noChangeArrowheads="1"/>
              <a:extLst>
                <a:ext uri="{84589F7E-364E-4C9E-8A38-B11213B215E9}">
                  <a14:cameraTool cellRange="'Pivot Report'!$A$45:$D$47" spid="_x0000_s1049"/>
                </a:ext>
              </a:extLst>
            </xdr:cNvPicPr>
          </xdr:nvPicPr>
          <xdr:blipFill>
            <a:blip xmlns:r="http://schemas.openxmlformats.org/officeDocument/2006/relationships" r:embed="rId14"/>
            <a:srcRect/>
            <a:stretch>
              <a:fillRect/>
            </a:stretch>
          </xdr:blipFill>
          <xdr:spPr bwMode="auto">
            <a:xfrm>
              <a:off x="701040" y="1328056"/>
              <a:ext cx="3627121" cy="413713"/>
            </a:xfrm>
            <a:prstGeom prst="roundRect">
              <a:avLst>
                <a:gd name="adj" fmla="val 16667"/>
              </a:avLst>
            </a:prstGeom>
            <a:solidFill>
              <a:schemeClr val="bg1"/>
            </a:solidFill>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xdr:spPr>
        </xdr:pic>
        <xdr:clientData/>
      </xdr:twoCellAnchor>
    </mc:Choice>
    <mc:Fallback/>
  </mc:AlternateContent>
  <xdr:twoCellAnchor>
    <xdr:from>
      <xdr:col>6</xdr:col>
      <xdr:colOff>596536</xdr:colOff>
      <xdr:row>0</xdr:row>
      <xdr:rowOff>34835</xdr:rowOff>
    </xdr:from>
    <xdr:to>
      <xdr:col>9</xdr:col>
      <xdr:colOff>121920</xdr:colOff>
      <xdr:row>6</xdr:row>
      <xdr:rowOff>87085</xdr:rowOff>
    </xdr:to>
    <xdr:graphicFrame macro="">
      <xdr:nvGraphicFramePr>
        <xdr:cNvPr id="17" name="Chart 16">
          <a:extLst>
            <a:ext uri="{FF2B5EF4-FFF2-40B4-BE49-F238E27FC236}">
              <a16:creationId xmlns:a16="http://schemas.microsoft.com/office/drawing/2014/main" id="{74DFFE84-6BB7-4CC5-92F6-1FF805CD87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95794</xdr:colOff>
      <xdr:row>9</xdr:row>
      <xdr:rowOff>43542</xdr:rowOff>
    </xdr:from>
    <xdr:to>
      <xdr:col>7</xdr:col>
      <xdr:colOff>43543</xdr:colOff>
      <xdr:row>14</xdr:row>
      <xdr:rowOff>52251</xdr:rowOff>
    </xdr:to>
    <xdr:graphicFrame macro="">
      <xdr:nvGraphicFramePr>
        <xdr:cNvPr id="19" name="Chart 18">
          <a:extLst>
            <a:ext uri="{FF2B5EF4-FFF2-40B4-BE49-F238E27FC236}">
              <a16:creationId xmlns:a16="http://schemas.microsoft.com/office/drawing/2014/main" id="{B16E31A1-DD9B-474E-94EA-7B0AF24BB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126274</xdr:colOff>
      <xdr:row>13</xdr:row>
      <xdr:rowOff>165464</xdr:rowOff>
    </xdr:from>
    <xdr:to>
      <xdr:col>7</xdr:col>
      <xdr:colOff>43543</xdr:colOff>
      <xdr:row>15</xdr:row>
      <xdr:rowOff>0</xdr:rowOff>
    </xdr:to>
    <xdr:sp macro="" textlink="">
      <xdr:nvSpPr>
        <xdr:cNvPr id="26" name="TextBox 25">
          <a:extLst>
            <a:ext uri="{FF2B5EF4-FFF2-40B4-BE49-F238E27FC236}">
              <a16:creationId xmlns:a16="http://schemas.microsoft.com/office/drawing/2014/main" id="{4F6FE366-1397-3348-B9F2-B3F0884147D6}"/>
            </a:ext>
          </a:extLst>
        </xdr:cNvPr>
        <xdr:cNvSpPr txBox="1"/>
      </xdr:nvSpPr>
      <xdr:spPr>
        <a:xfrm>
          <a:off x="735874" y="2542904"/>
          <a:ext cx="3574869" cy="2002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00" b="1">
              <a:solidFill>
                <a:schemeClr val="accent1">
                  <a:lumMod val="50000"/>
                </a:schemeClr>
              </a:solidFill>
            </a:rPr>
            <a:t>No.</a:t>
          </a:r>
          <a:r>
            <a:rPr lang="en-IN" sz="800" b="1" baseline="0">
              <a:solidFill>
                <a:schemeClr val="accent1">
                  <a:lumMod val="50000"/>
                </a:schemeClr>
              </a:solidFill>
            </a:rPr>
            <a:t> of Patient by Age  Group</a:t>
          </a:r>
          <a:endParaRPr lang="en-IN" sz="800" b="1">
            <a:solidFill>
              <a:schemeClr val="accent1">
                <a:lumMod val="50000"/>
              </a:schemeClr>
            </a:solidFill>
          </a:endParaRPr>
        </a:p>
      </xdr:txBody>
    </xdr:sp>
    <xdr:clientData/>
  </xdr:twoCellAnchor>
  <xdr:twoCellAnchor>
    <xdr:from>
      <xdr:col>9</xdr:col>
      <xdr:colOff>161108</xdr:colOff>
      <xdr:row>0</xdr:row>
      <xdr:rowOff>30480</xdr:rowOff>
    </xdr:from>
    <xdr:to>
      <xdr:col>11</xdr:col>
      <xdr:colOff>422365</xdr:colOff>
      <xdr:row>6</xdr:row>
      <xdr:rowOff>82732</xdr:rowOff>
    </xdr:to>
    <xdr:graphicFrame macro="">
      <xdr:nvGraphicFramePr>
        <xdr:cNvPr id="28" name="Chart 27">
          <a:extLst>
            <a:ext uri="{FF2B5EF4-FFF2-40B4-BE49-F238E27FC236}">
              <a16:creationId xmlns:a16="http://schemas.microsoft.com/office/drawing/2014/main" id="{4544CBD3-585B-46ED-9960-8AC9B9DB0E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252997</xdr:colOff>
      <xdr:row>5</xdr:row>
      <xdr:rowOff>96095</xdr:rowOff>
    </xdr:from>
    <xdr:to>
      <xdr:col>11</xdr:col>
      <xdr:colOff>244289</xdr:colOff>
      <xdr:row>6</xdr:row>
      <xdr:rowOff>87392</xdr:rowOff>
    </xdr:to>
    <xdr:sp macro="" textlink="">
      <xdr:nvSpPr>
        <xdr:cNvPr id="34" name="TextBox 1">
          <a:extLst>
            <a:ext uri="{FF2B5EF4-FFF2-40B4-BE49-F238E27FC236}">
              <a16:creationId xmlns:a16="http://schemas.microsoft.com/office/drawing/2014/main" id="{C57C1FEF-080F-0F1C-B8E4-886477BD2123}"/>
            </a:ext>
          </a:extLst>
        </xdr:cNvPr>
        <xdr:cNvSpPr txBox="1"/>
      </xdr:nvSpPr>
      <xdr:spPr>
        <a:xfrm>
          <a:off x="5739397" y="1010495"/>
          <a:ext cx="1210492" cy="174177"/>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en-IN" sz="600" b="1" kern="1200" baseline="0">
              <a:solidFill>
                <a:schemeClr val="accent1">
                  <a:lumMod val="50000"/>
                </a:schemeClr>
              </a:solidFill>
            </a:rPr>
            <a:t>No. of Patients by Gender</a:t>
          </a:r>
        </a:p>
        <a:p>
          <a:pPr algn="ctr"/>
          <a:endParaRPr lang="en-IN" sz="600" b="1" kern="1200">
            <a:solidFill>
              <a:schemeClr val="accent1">
                <a:lumMod val="50000"/>
              </a:schemeClr>
            </a:solidFill>
          </a:endParaRPr>
        </a:p>
      </xdr:txBody>
    </xdr:sp>
    <xdr:clientData/>
  </xdr:twoCellAnchor>
  <xdr:twoCellAnchor editAs="oneCell">
    <xdr:from>
      <xdr:col>5</xdr:col>
      <xdr:colOff>289035</xdr:colOff>
      <xdr:row>0</xdr:row>
      <xdr:rowOff>175174</xdr:rowOff>
    </xdr:from>
    <xdr:to>
      <xdr:col>6</xdr:col>
      <xdr:colOff>604344</xdr:colOff>
      <xdr:row>2</xdr:row>
      <xdr:rowOff>127000</xdr:rowOff>
    </xdr:to>
    <mc:AlternateContent xmlns:mc="http://schemas.openxmlformats.org/markup-compatibility/2006">
      <mc:Choice xmlns:a14="http://schemas.microsoft.com/office/drawing/2010/main" Requires="a14">
        <xdr:graphicFrame macro="">
          <xdr:nvGraphicFramePr>
            <xdr:cNvPr id="37" name="Date (Year)">
              <a:extLst>
                <a:ext uri="{FF2B5EF4-FFF2-40B4-BE49-F238E27FC236}">
                  <a16:creationId xmlns:a16="http://schemas.microsoft.com/office/drawing/2014/main" id="{1B758176-3E0F-40AF-9084-619EE1241D77}"/>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332656" y="175174"/>
              <a:ext cx="924033" cy="3196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121921</xdr:colOff>
      <xdr:row>6</xdr:row>
      <xdr:rowOff>178526</xdr:rowOff>
    </xdr:from>
    <xdr:to>
      <xdr:col>11</xdr:col>
      <xdr:colOff>304801</xdr:colOff>
      <xdr:row>15</xdr:row>
      <xdr:rowOff>4354</xdr:rowOff>
    </xdr:to>
    <xdr:graphicFrame macro="">
      <xdr:nvGraphicFramePr>
        <xdr:cNvPr id="35" name="Chart 34">
          <a:extLst>
            <a:ext uri="{FF2B5EF4-FFF2-40B4-BE49-F238E27FC236}">
              <a16:creationId xmlns:a16="http://schemas.microsoft.com/office/drawing/2014/main" id="{02035041-66B2-4F76-BDB9-58BED6953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345965</xdr:colOff>
      <xdr:row>0</xdr:row>
      <xdr:rowOff>61309</xdr:rowOff>
    </xdr:from>
    <xdr:to>
      <xdr:col>6</xdr:col>
      <xdr:colOff>494862</xdr:colOff>
      <xdr:row>1</xdr:row>
      <xdr:rowOff>39413</xdr:rowOff>
    </xdr:to>
    <xdr:sp macro="" textlink="">
      <xdr:nvSpPr>
        <xdr:cNvPr id="38" name="TextBox 37">
          <a:extLst>
            <a:ext uri="{FF2B5EF4-FFF2-40B4-BE49-F238E27FC236}">
              <a16:creationId xmlns:a16="http://schemas.microsoft.com/office/drawing/2014/main" id="{F96DBC35-6964-F0E6-759A-40B179DED13D}"/>
            </a:ext>
          </a:extLst>
        </xdr:cNvPr>
        <xdr:cNvSpPr txBox="1"/>
      </xdr:nvSpPr>
      <xdr:spPr>
        <a:xfrm>
          <a:off x="3389586" y="61309"/>
          <a:ext cx="757621" cy="162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00" b="1">
              <a:solidFill>
                <a:schemeClr val="accent1">
                  <a:lumMod val="50000"/>
                </a:schemeClr>
              </a:solidFill>
              <a:latin typeface="+mn-lt"/>
            </a:rPr>
            <a:t>Select Year</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0.10611</cdr:x>
      <cdr:y>0.84848</cdr:y>
    </cdr:from>
    <cdr:to>
      <cdr:x>1</cdr:x>
      <cdr:y>1</cdr:y>
    </cdr:to>
    <cdr:sp macro="" textlink="">
      <cdr:nvSpPr>
        <cdr:cNvPr id="2" name="TextBox 1">
          <a:extLst xmlns:a="http://schemas.openxmlformats.org/drawingml/2006/main">
            <a:ext uri="{FF2B5EF4-FFF2-40B4-BE49-F238E27FC236}">
              <a16:creationId xmlns:a16="http://schemas.microsoft.com/office/drawing/2014/main" id="{07D53EDA-B950-FC69-6ED1-F09312020127}"/>
            </a:ext>
          </a:extLst>
        </cdr:cNvPr>
        <cdr:cNvSpPr txBox="1"/>
      </cdr:nvSpPr>
      <cdr:spPr>
        <a:xfrm xmlns:a="http://schemas.openxmlformats.org/drawingml/2006/main">
          <a:off x="143692" y="975358"/>
          <a:ext cx="1210492" cy="1741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IN" sz="600" b="1" kern="1200">
              <a:solidFill>
                <a:schemeClr val="accent1">
                  <a:lumMod val="50000"/>
                </a:schemeClr>
              </a:solidFill>
            </a:rPr>
            <a:t>Patients</a:t>
          </a:r>
          <a:r>
            <a:rPr lang="en-IN" sz="600" b="1" kern="1200" baseline="0">
              <a:solidFill>
                <a:schemeClr val="accent1">
                  <a:lumMod val="50000"/>
                </a:schemeClr>
              </a:solidFill>
            </a:rPr>
            <a:t> attended within Time</a:t>
          </a:r>
          <a:endParaRPr lang="en-IN" sz="600" b="1" kern="1200">
            <a:solidFill>
              <a:schemeClr val="accent1">
                <a:lumMod val="50000"/>
              </a:schemeClr>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0.01827</cdr:x>
      <cdr:y>0.87804</cdr:y>
    </cdr:from>
    <cdr:to>
      <cdr:x>0.99834</cdr:x>
      <cdr:y>1</cdr:y>
    </cdr:to>
    <cdr:sp macro="" textlink="">
      <cdr:nvSpPr>
        <cdr:cNvPr id="4" name="TextBox 1">
          <a:extLst xmlns:a="http://schemas.openxmlformats.org/drawingml/2006/main">
            <a:ext uri="{FF2B5EF4-FFF2-40B4-BE49-F238E27FC236}">
              <a16:creationId xmlns:a16="http://schemas.microsoft.com/office/drawing/2014/main" id="{C57C1FEF-080F-0F1C-B8E4-886477BD2123}"/>
            </a:ext>
          </a:extLst>
        </cdr:cNvPr>
        <cdr:cNvSpPr txBox="1"/>
      </cdr:nvSpPr>
      <cdr:spPr>
        <a:xfrm xmlns:a="http://schemas.openxmlformats.org/drawingml/2006/main">
          <a:off x="47896" y="1254029"/>
          <a:ext cx="2569028" cy="174177"/>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IN" sz="600" b="1" kern="1200" baseline="0">
              <a:solidFill>
                <a:schemeClr val="accent1">
                  <a:lumMod val="50000"/>
                </a:schemeClr>
              </a:solidFill>
            </a:rPr>
            <a:t>No. of Patients by Department Referal</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533400</xdr:colOff>
      <xdr:row>25</xdr:row>
      <xdr:rowOff>45720</xdr:rowOff>
    </xdr:to>
    <xdr:graphicFrame macro="">
      <xdr:nvGraphicFramePr>
        <xdr:cNvPr id="2" name="Chart 1">
          <a:extLst>
            <a:ext uri="{FF2B5EF4-FFF2-40B4-BE49-F238E27FC236}">
              <a16:creationId xmlns:a16="http://schemas.microsoft.com/office/drawing/2014/main" id="{B88CA2D1-2C68-482B-B626-0FFA9DCFF7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xdr:row>
      <xdr:rowOff>68580</xdr:rowOff>
    </xdr:from>
    <xdr:to>
      <xdr:col>17</xdr:col>
      <xdr:colOff>160020</xdr:colOff>
      <xdr:row>27</xdr:row>
      <xdr:rowOff>91440</xdr:rowOff>
    </xdr:to>
    <xdr:sp macro="" textlink="">
      <xdr:nvSpPr>
        <xdr:cNvPr id="3" name="TextBox 2">
          <a:extLst>
            <a:ext uri="{FF2B5EF4-FFF2-40B4-BE49-F238E27FC236}">
              <a16:creationId xmlns:a16="http://schemas.microsoft.com/office/drawing/2014/main" id="{585F1EDA-80EE-C8B3-97C6-A92EA785F1A1}"/>
            </a:ext>
          </a:extLst>
        </xdr:cNvPr>
        <xdr:cNvSpPr txBox="1"/>
      </xdr:nvSpPr>
      <xdr:spPr>
        <a:xfrm>
          <a:off x="0" y="4640580"/>
          <a:ext cx="10523220" cy="38862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latin typeface="Bahnschrift" panose="020B0502040204020203" pitchFamily="34" charset="0"/>
            </a:rPr>
            <a:t>Showing</a:t>
          </a:r>
          <a:r>
            <a:rPr lang="en-IN" sz="1600" b="1" baseline="0">
              <a:latin typeface="Bahnschrift" panose="020B0502040204020203" pitchFamily="34" charset="0"/>
            </a:rPr>
            <a:t> a daily trend with an area sparkling to spot patterns like busy days or seasonal trends</a:t>
          </a:r>
          <a:endParaRPr lang="en-IN" sz="1600" b="1">
            <a:latin typeface="Bahnschrift" panose="020B0502040204020203" pitchFamily="34" charset="0"/>
          </a:endParaRPr>
        </a:p>
      </xdr:txBody>
    </xdr:sp>
    <xdr:clientData/>
  </xdr:twoCellAnchor>
  <xdr:twoCellAnchor editAs="oneCell">
    <xdr:from>
      <xdr:col>0</xdr:col>
      <xdr:colOff>38100</xdr:colOff>
      <xdr:row>0</xdr:row>
      <xdr:rowOff>15240</xdr:rowOff>
    </xdr:from>
    <xdr:to>
      <xdr:col>0</xdr:col>
      <xdr:colOff>548640</xdr:colOff>
      <xdr:row>2</xdr:row>
      <xdr:rowOff>160020</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14634D09-7C5C-34D6-C601-AD75C2F1A00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8100" y="15240"/>
          <a:ext cx="510540" cy="51054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350520</xdr:colOff>
      <xdr:row>24</xdr:row>
      <xdr:rowOff>144780</xdr:rowOff>
    </xdr:to>
    <xdr:graphicFrame macro="">
      <xdr:nvGraphicFramePr>
        <xdr:cNvPr id="2" name="Chart 1">
          <a:extLst>
            <a:ext uri="{FF2B5EF4-FFF2-40B4-BE49-F238E27FC236}">
              <a16:creationId xmlns:a16="http://schemas.microsoft.com/office/drawing/2014/main" id="{A8133890-4509-4DE5-90A9-C1E7F70D1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274320</xdr:colOff>
      <xdr:row>24</xdr:row>
      <xdr:rowOff>160020</xdr:rowOff>
    </xdr:from>
    <xdr:to>
      <xdr:col>16</xdr:col>
      <xdr:colOff>525780</xdr:colOff>
      <xdr:row>26</xdr:row>
      <xdr:rowOff>121920</xdr:rowOff>
    </xdr:to>
    <xdr:sp macro="" textlink="">
      <xdr:nvSpPr>
        <xdr:cNvPr id="3" name="TextBox 2">
          <a:extLst>
            <a:ext uri="{FF2B5EF4-FFF2-40B4-BE49-F238E27FC236}">
              <a16:creationId xmlns:a16="http://schemas.microsoft.com/office/drawing/2014/main" id="{2F0EE4E5-882B-FA4F-2A78-BFDB4EB646D6}"/>
            </a:ext>
          </a:extLst>
        </xdr:cNvPr>
        <xdr:cNvSpPr txBox="1"/>
      </xdr:nvSpPr>
      <xdr:spPr>
        <a:xfrm>
          <a:off x="274320" y="4549140"/>
          <a:ext cx="10005060" cy="327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500" b="1">
              <a:latin typeface="Bahnschrift" panose="020B0502040204020203" pitchFamily="34" charset="0"/>
            </a:rPr>
            <a:t>Use an area sparkline</a:t>
          </a:r>
          <a:r>
            <a:rPr lang="en-IN" sz="1500" b="1" baseline="0">
              <a:latin typeface="Bahnschrift" panose="020B0502040204020203" pitchFamily="34" charset="0"/>
            </a:rPr>
            <a:t> to track daily changes and heighlight days with longer wait time migth needs improvements</a:t>
          </a:r>
          <a:endParaRPr lang="en-IN" sz="1500" b="1">
            <a:latin typeface="Bahnschrift" panose="020B0502040204020203" pitchFamily="34" charset="0"/>
          </a:endParaRPr>
        </a:p>
      </xdr:txBody>
    </xdr:sp>
    <xdr:clientData/>
  </xdr:twoCellAnchor>
  <xdr:twoCellAnchor editAs="oneCell">
    <xdr:from>
      <xdr:col>0</xdr:col>
      <xdr:colOff>0</xdr:colOff>
      <xdr:row>0</xdr:row>
      <xdr:rowOff>0</xdr:rowOff>
    </xdr:from>
    <xdr:to>
      <xdr:col>0</xdr:col>
      <xdr:colOff>594360</xdr:colOff>
      <xdr:row>3</xdr:row>
      <xdr:rowOff>45720</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A6023DC0-1E4C-DEEF-D230-8390A4A5C25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594360" cy="59436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548640</xdr:colOff>
      <xdr:row>24</xdr:row>
      <xdr:rowOff>114300</xdr:rowOff>
    </xdr:to>
    <xdr:graphicFrame macro="">
      <xdr:nvGraphicFramePr>
        <xdr:cNvPr id="5" name="Chart 4">
          <a:extLst>
            <a:ext uri="{FF2B5EF4-FFF2-40B4-BE49-F238E27FC236}">
              <a16:creationId xmlns:a16="http://schemas.microsoft.com/office/drawing/2014/main" id="{FB0D590D-AB1D-426B-A114-B8D4656DAB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571500</xdr:colOff>
      <xdr:row>25</xdr:row>
      <xdr:rowOff>7620</xdr:rowOff>
    </xdr:from>
    <xdr:to>
      <xdr:col>16</xdr:col>
      <xdr:colOff>281940</xdr:colOff>
      <xdr:row>26</xdr:row>
      <xdr:rowOff>152400</xdr:rowOff>
    </xdr:to>
    <xdr:sp macro="" textlink="">
      <xdr:nvSpPr>
        <xdr:cNvPr id="3" name="TextBox 2">
          <a:extLst>
            <a:ext uri="{FF2B5EF4-FFF2-40B4-BE49-F238E27FC236}">
              <a16:creationId xmlns:a16="http://schemas.microsoft.com/office/drawing/2014/main" id="{255837F9-A694-485E-BEB0-4FC59BAFC9CC}"/>
            </a:ext>
          </a:extLst>
        </xdr:cNvPr>
        <xdr:cNvSpPr txBox="1"/>
      </xdr:nvSpPr>
      <xdr:spPr>
        <a:xfrm>
          <a:off x="571500" y="4579620"/>
          <a:ext cx="9464040" cy="327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500" b="1">
              <a:latin typeface="Bahnschrift" panose="020B0502040204020203" pitchFamily="34" charset="0"/>
            </a:rPr>
            <a:t>Use an area sparkline</a:t>
          </a:r>
          <a:r>
            <a:rPr lang="en-IN" sz="1500" b="1" baseline="0">
              <a:latin typeface="Bahnschrift" panose="020B0502040204020203" pitchFamily="34" charset="0"/>
            </a:rPr>
            <a:t> to show trends, spot drops in satisfaction , and link them to busy times or challenges.</a:t>
          </a:r>
          <a:endParaRPr lang="en-IN" sz="1500" b="1">
            <a:latin typeface="Bahnschrift" panose="020B0502040204020203" pitchFamily="34" charset="0"/>
          </a:endParaRPr>
        </a:p>
      </xdr:txBody>
    </xdr:sp>
    <xdr:clientData/>
  </xdr:twoCellAnchor>
  <xdr:twoCellAnchor editAs="oneCell">
    <xdr:from>
      <xdr:col>0</xdr:col>
      <xdr:colOff>0</xdr:colOff>
      <xdr:row>0</xdr:row>
      <xdr:rowOff>0</xdr:rowOff>
    </xdr:from>
    <xdr:to>
      <xdr:col>0</xdr:col>
      <xdr:colOff>594360</xdr:colOff>
      <xdr:row>3</xdr:row>
      <xdr:rowOff>45720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04B72B9F-789A-4B2D-BACD-92B0F01068E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594360" cy="59436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4.679296643517" createdVersion="5" refreshedVersion="8" minRefreshableVersion="3" recordCount="0" supportSubquery="1" supportAdvancedDrill="1" xr:uid="{12E7F6A9-A38A-4215-B509-4BBE5FFEA105}">
  <cacheSource type="external" connectionId="3"/>
  <cacheFields count="4">
    <cacheField name="[Calender_Table].[Date (Month)].[Date (Month)]" caption="Date (Month)" numFmtId="0" hierarchy="1" level="1">
      <sharedItems count="1">
        <s v="Aug"/>
      </sharedItems>
    </cacheField>
    <cacheField name="[Calender_Table].[Date].[Date]" caption="Date" numFmtId="0" level="1">
      <sharedItems containsSemiMixedTypes="0" containsNonDate="0" containsDate="1" containsString="0" minDate="2023-08-01T00:00:00" maxDate="2024-09-01T00:00:00" count="62">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sharedItems>
    </cacheField>
    <cacheField name="[Calender_Table].[Date (Quarter)].[Date (Quarter)]" caption="Date (Quarter)" numFmtId="0" hierarchy="4" level="1">
      <sharedItems count="1">
        <s v="Qtr3"/>
      </sharedItems>
    </cacheField>
    <cacheField name="[Calender_Table].[Date (Year)].[Date (Year)]" caption="Date (Year)" numFmtId="0" hierarchy="3" level="1">
      <sharedItems count="1">
        <s v="2024"/>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4.679297222225" createdVersion="5" refreshedVersion="8" minRefreshableVersion="3" recordCount="0" supportSubquery="1" supportAdvancedDrill="1" xr:uid="{C76BBE20-79C4-4FF3-88C8-5E324A058F7C}">
  <cacheSource type="external" connectionId="3"/>
  <cacheFields count="4">
    <cacheField name="[Calender_Table].[Date (Day)].[Date (Day)]" caption="Date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4.679297800925" createdVersion="5" refreshedVersion="8" minRefreshableVersion="3" recordCount="0" supportSubquery="1" supportAdvancedDrill="1" xr:uid="{B82A69F1-C38B-4413-9B1E-0C1DE1381DC9}">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4.679298379633" createdVersion="5" refreshedVersion="8" minRefreshableVersion="3" recordCount="0" supportSubquery="1" supportAdvancedDrill="1" xr:uid="{95ECF0BF-83AB-4581-BCA5-A2A8568F1BD0}">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4.679298726849" createdVersion="5" refreshedVersion="8" minRefreshableVersion="3" recordCount="0" supportSubquery="1" supportAdvancedDrill="1" xr:uid="{287A7890-F5FF-4632-9530-A526F4F57D3F}">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4.679299074072" createdVersion="5" refreshedVersion="8" minRefreshableVersion="3" recordCount="0" supportSubquery="1" supportAdvancedDrill="1" xr:uid="{88FFDC6B-F889-4963-96F1-B8B96CC4B2DF}">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4.679299305557" createdVersion="5" refreshedVersion="8" minRefreshableVersion="3" recordCount="0" supportSubquery="1" supportAdvancedDrill="1" xr:uid="{118D0277-9ABF-43D5-83F3-8C15238CC0E0}">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4.679299768519" createdVersion="5" refreshedVersion="8" minRefreshableVersion="3" recordCount="0" supportSubquery="1" supportAdvancedDrill="1" xr:uid="{648F6576-6C6E-4341-A561-96BF79304075}">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4.679300347219" createdVersion="5" refreshedVersion="8" minRefreshableVersion="3" recordCount="0" supportSubquery="1" supportAdvancedDrill="1" xr:uid="{EF2E92D8-EDFF-4B69-9F90-B63F10D22783}">
  <cacheSource type="external" connectionId="3"/>
  <cacheFields count="4">
    <cacheField name="[Calender_Table].[Date (Day)].[Date (Day)]" caption="Date (Day)" numFmtId="0" hierarchy="2" level="1">
      <sharedItems count="30">
        <s v="1-Aug"/>
        <s v="2-Aug"/>
        <s v="3-Aug"/>
        <s v="4-Aug"/>
        <s v="5-Aug"/>
        <s v="6-Aug"/>
        <s v="8-Aug"/>
        <s v="9-Aug"/>
        <s v="10-Aug"/>
        <s v="11-Aug"/>
        <s v="12-Aug"/>
        <s v="13-Aug"/>
        <s v="14-Aug"/>
        <s v="15-Aug"/>
        <s v="16-Aug"/>
        <s v="17-Aug"/>
        <s v="18-Aug"/>
        <s v="19-Aug"/>
        <s v="20-Aug"/>
        <s v="21-Aug"/>
        <s v="22-Aug"/>
        <s v="23-Aug"/>
        <s v="24-Aug"/>
        <s v="25-Aug"/>
        <s v="26-Aug"/>
        <s v="27-Aug"/>
        <s v="28-Aug"/>
        <s v="29-Aug"/>
        <s v="30-Aug"/>
        <s v="31-Aug"/>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4.679300925927" createdVersion="5" refreshedVersion="8" minRefreshableVersion="3" recordCount="0" supportSubquery="1" supportAdvancedDrill="1" xr:uid="{4D855DFF-425F-492F-8DCD-0F7EF8DF2DB6}">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4.679301504628" createdVersion="5" refreshedVersion="8" minRefreshableVersion="3" recordCount="0" supportSubquery="1" supportAdvancedDrill="1" xr:uid="{1CBE1F49-DBC1-43DB-95D0-C7A404D766D0}">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29"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4.679302083336" createdVersion="5" refreshedVersion="8" minRefreshableVersion="3" recordCount="0" supportSubquery="1" supportAdvancedDrill="1" xr:uid="{C5526A72-41A6-4600-AD73-4045535505E6}">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4.669995370372" createdVersion="3" refreshedVersion="8" minRefreshableVersion="3" recordCount="0" supportSubquery="1" supportAdvancedDrill="1" xr:uid="{57E206D4-3E95-4624-A9FE-43ABB7234897}">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11786606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0FADE9-EA87-4548-B8E0-68030F0BACF6}" name="PivotTable7" cacheId="150" applyNumberFormats="0" applyBorderFormats="0" applyFontFormats="0" applyPatternFormats="0" applyAlignmentFormats="0" applyWidthHeightFormats="1" dataCaption="Values" tag="7c1df150-25d7-40e2-a7f6-652e226358fa" updatedVersion="8" minRefreshableVersion="3" subtotalHiddenItems="1" itemPrintTitles="1" createdVersion="5" indent="0" outline="1" outlineData="1" multipleFieldFilters="0" chartFormat="1">
  <location ref="A39:C42"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6">
      <pivotArea outline="0" collapsedLevelsAreSubtotals="1" fieldPosition="0"/>
    </format>
    <format dxfId="7">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8F8B35-BFB9-46F2-9BA8-9F99F1AC370F}" name="PivotTable1" cacheId="126" applyNumberFormats="0" applyBorderFormats="0" applyFontFormats="0" applyPatternFormats="0" applyAlignmentFormats="0" applyWidthHeightFormats="1" dataCaption="Values" tag="a07e3c40-4ce3-47da-85cd-563d1f35e84a" updatedVersion="8" minRefreshableVersion="3" subtotalHiddenItems="1" itemPrintTitles="1" createdVersion="5" indent="0" outline="1" outlineData="1" multipleFieldFilters="0" chartFormat="25">
  <location ref="I4:J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15">
      <pivotArea outline="0" collapsedLevelsAreSubtotals="1" fieldPosition="0"/>
    </format>
  </formats>
  <chartFormats count="3">
    <chartFormat chart="13" format="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DD0358-5595-4E1D-8D6A-26A530B2426B}" name="PivotTable6" cacheId="147" applyNumberFormats="0" applyBorderFormats="0" applyFontFormats="0" applyPatternFormats="0" applyAlignmentFormats="0" applyWidthHeightFormats="1" dataCaption="Values" tag="a07e3c40-4ce3-47da-85cd-563d1f35e84a" updatedVersion="8" minRefreshableVersion="3" subtotalHiddenItems="1" itemPrintTitles="1" createdVersion="5" indent="0" outline="1" outlineData="1" multipleFieldFilters="0" chartFormat="34">
  <location ref="L4:M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8">
      <pivotArea outline="0" collapsedLevelsAreSubtotals="1" fieldPosition="0"/>
    </format>
  </formats>
  <chartFormats count="3">
    <chartFormat chart="28" format="2" series="1">
      <pivotArea type="data" outline="0" fieldPosition="0">
        <references count="1">
          <reference field="4294967294" count="1" selected="0">
            <x v="0"/>
          </reference>
        </references>
      </pivotArea>
    </chartFormat>
    <chartFormat chart="31" format="3"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AE112E-42F3-4E33-AA9F-C9AA0550D3D1}" name="PivotTable2" cacheId="135" applyNumberFormats="0" applyBorderFormats="0" applyFontFormats="0" applyPatternFormats="0" applyAlignmentFormats="0" applyWidthHeightFormats="1" dataCaption="Values" tag="7c1df150-25d7-40e2-a7f6-652e226358fa" updatedVersion="8" minRefreshableVersion="3" subtotalHiddenItems="1" itemPrintTitles="1" createdVersion="5" indent="0" outline="1" outlineData="1" multipleFieldFilters="0">
  <location ref="A18:A1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0">
      <pivotArea outline="0" collapsedLevelsAreSubtotals="1" fieldPosition="0"/>
    </format>
  </formats>
  <pivotHierarchies count="34">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49415A-444A-4B53-9554-A9171F4CE6B0}" name="PivotTable10" cacheId="129" applyNumberFormats="0" applyBorderFormats="0" applyFontFormats="0" applyPatternFormats="0" applyAlignmentFormats="0" applyWidthHeightFormats="1" dataCaption="Values" tag="7c1df150-25d7-40e2-a7f6-652e226358fa" updatedVersion="8" minRefreshableVersion="3" subtotalHiddenItems="1" itemPrintTitles="1" createdVersion="5" indent="0" outline="1" outlineData="1" multipleFieldFilters="0" chartFormat="15">
  <location ref="A59:B6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13">
      <pivotArea outline="0" collapsedLevelsAreSubtotals="1" fieldPosition="0"/>
    </format>
    <format dxfId="14">
      <pivotArea grandRow="1" outline="0" collapsedLevelsAreSubtotals="1" fieldPosition="0"/>
    </format>
  </formats>
  <chartFormats count="3">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 count="1" selected="0">
            <x v="0"/>
          </reference>
        </references>
      </pivotArea>
    </chartFormat>
    <chartFormat chart="9"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C0C89A-3486-4FB1-8AFE-34BC06DB7E63}" name="PivotTable9" cacheId="156" applyNumberFormats="0" applyBorderFormats="0" applyFontFormats="0" applyPatternFormats="0" applyAlignmentFormats="0" applyWidthHeightFormats="1" dataCaption="Values" tag="7c1df150-25d7-40e2-a7f6-652e226358fa" updatedVersion="8" minRefreshableVersion="3" subtotalHiddenItems="1" itemPrintTitles="1" createdVersion="5" indent="0" outline="1" outlineData="1" multipleFieldFilters="0" chartFormat="6">
  <location ref="E50:F5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3">
    <format dxfId="0">
      <pivotArea outline="0" collapsedLevelsAreSubtotals="1" fieldPosition="0"/>
    </format>
    <format dxfId="1">
      <pivotArea collapsedLevelsAreSubtotals="1" fieldPosition="0">
        <references count="1">
          <reference field="1" count="0"/>
        </references>
      </pivotArea>
    </format>
    <format dxfId="2">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FD5D9F-B98F-4DD4-A7B0-B13288221B15}" name="PivotTable3" cacheId="138" applyNumberFormats="0" applyBorderFormats="0" applyFontFormats="0" applyPatternFormats="0" applyAlignmentFormats="0" applyWidthHeightFormats="1" dataCaption="Values" tag="a07e3c40-4ce3-47da-85cd-563d1f35e84a"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0FE852-AE48-45DE-98CF-BED55A6873B6}" name="PivotTable12" cacheId="123" applyNumberFormats="0" applyBorderFormats="0" applyFontFormats="0" applyPatternFormats="0" applyAlignmentFormats="0" applyWidthHeightFormats="1" dataCaption="Values" tag="7c1df150-25d7-40e2-a7f6-652e226358fa" updatedVersion="8" minRefreshableVersion="3" subtotalHiddenItems="1" itemPrintTitles="1" createdVersion="5" indent="0" outline="1" outlineData="1" multipleFieldFilters="0" chartFormat="18">
  <location ref="A79:A81"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2">
    <format dxfId="16">
      <pivotArea grandRow="1" outline="0" collapsedLevelsAreSubtotals="1" fieldPosition="0"/>
    </format>
    <format dxfId="17">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9713CA9-71B2-4650-9DCC-E6A2FE45D63C}" name="PivotTable4" cacheId="141" applyNumberFormats="0" applyBorderFormats="0" applyFontFormats="0" applyPatternFormats="0" applyAlignmentFormats="0" applyWidthHeightFormats="1" dataCaption="Values" tag="7c1df150-25d7-40e2-a7f6-652e226358fa"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9">
      <pivotArea outline="0" collapsedLevelsAreSubtotals="1" fieldPosition="0"/>
    </format>
  </formats>
  <pivotHierarchies count="34">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E642C91-E872-4D0B-8C36-992744415745}" name="PivotTable5" cacheId="144" applyNumberFormats="0" applyBorderFormats="0" applyFontFormats="0" applyPatternFormats="0" applyAlignmentFormats="0" applyWidthHeightFormats="1" dataCaption="Values" tag="a07e3c40-4ce3-47da-85cd-563d1f35e84a" updatedVersion="8" minRefreshableVersion="3" subtotalHiddenItems="1" itemPrintTitles="1" createdVersion="5" indent="0" outline="1" outlineData="1" multipleFieldFilters="0" chartFormat="11">
  <location ref="E4:F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C5AC7FC-6EE2-4E59-A93E-6BCBD273D33E}" name="PivotTable11" cacheId="132" applyNumberFormats="0" applyBorderFormats="0" applyFontFormats="0" applyPatternFormats="0" applyAlignmentFormats="0" applyWidthHeightFormats="1" dataCaption="Values" tag="7c1df150-25d7-40e2-a7f6-652e226358fa" updatedVersion="8" minRefreshableVersion="3" subtotalHiddenItems="1" itemPrintTitles="1" createdVersion="5" indent="0" outline="1" outlineData="1" multipleFieldFilters="0" chartFormat="18">
  <location ref="A66:B75"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i>
    <i>
      <x v="3"/>
    </i>
    <i>
      <x v="6"/>
    </i>
    <i>
      <x v="5"/>
    </i>
    <i>
      <x v="2"/>
    </i>
    <i>
      <x v="4"/>
    </i>
    <i t="grand">
      <x/>
    </i>
  </rowItems>
  <colItems count="1">
    <i/>
  </colItems>
  <dataFields count="1">
    <dataField name="Count of Department Referral" fld="2" subtotal="count" baseField="0" baseItem="0" numFmtId="1"/>
  </dataFields>
  <formats count="2">
    <format dxfId="11">
      <pivotArea grandRow="1" outline="0" collapsedLevelsAreSubtotals="1" fieldPosition="0"/>
    </format>
    <format dxfId="12">
      <pivotArea outline="0" collapsedLevelsAreSubtotals="1" fieldPosition="0"/>
    </format>
  </formats>
  <chartFormats count="1">
    <chartFormat chart="17"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F3C5A54-AE1B-43D7-B443-D55B738CE499}" name="PivotTable8" cacheId="153" applyNumberFormats="0" applyBorderFormats="0" applyFontFormats="0" applyPatternFormats="0" applyAlignmentFormats="0" applyWidthHeightFormats="1" dataCaption="Values" tag="7c1df150-25d7-40e2-a7f6-652e226358fa" updatedVersion="8" minRefreshableVersion="3" subtotalHiddenItems="1" itemPrintTitles="1" createdVersion="5" indent="0" outline="1" outlineData="1" multipleFieldFilters="0" chartFormat="11">
  <location ref="A51:B5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3">
    <format dxfId="3">
      <pivotArea outline="0" collapsedLevelsAreSubtotals="1" fieldPosition="0"/>
    </format>
    <format dxfId="4">
      <pivotArea collapsedLevelsAreSubtotals="1" fieldPosition="0">
        <references count="1">
          <reference field="1" count="0"/>
        </references>
      </pivotArea>
    </format>
    <format dxfId="5">
      <pivotArea grandRow="1" outline="0" collapsedLevelsAreSubtotals="1" fieldPosition="0"/>
    </format>
  </formats>
  <chartFormats count="6">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CB955D74-EF5C-4C5E-BD37-D63996D73FB6}" sourceName="[Calender_Table].[Date (Month)]">
  <pivotTables>
    <pivotTable tabId="1" name="PivotTable5"/>
    <pivotTable tabId="1" name="PivotTable2"/>
    <pivotTable tabId="1" name="PivotTable3"/>
    <pivotTable tabId="1" name="PivotTable4"/>
    <pivotTable tabId="1" name="PivotTable1"/>
    <pivotTable tabId="1" name="PivotTable6"/>
    <pivotTable tabId="1" name="PivotTable7"/>
    <pivotTable tabId="1" name="PivotTable8"/>
    <pivotTable tabId="1" name="PivotTable9"/>
    <pivotTable tabId="1" name="PivotTable10"/>
    <pivotTable tabId="1" name="PivotTable11"/>
    <pivotTable tabId="1" name="PivotTable12"/>
  </pivotTables>
  <data>
    <olap pivotCacheId="1117866065">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Aug]"/>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1FE9A7B8-4025-4619-94BF-D9F73426ED0A}"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117866065">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6879C6EA-7242-4F19-85DB-FF7D294927E5}" cache="Slicer_Date__Month" caption="Date (Month)" showCaption="0" level="1" style="mystyle2" rowHeight="136800"/>
  <slicer name="Date (Year)" xr10:uid="{6919626A-96AD-4273-8D62-B0EE5FC9AF11}" cache="Slicer_Date__Year" caption="Date (Year)" columnCount="2" showCaption="0" level="1" style="mystyle2"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3F128-D426-4A18-9D3A-EAE5899C9ADA}">
  <dimension ref="A3:M81"/>
  <sheetViews>
    <sheetView topLeftCell="G1" zoomScaleNormal="100" workbookViewId="0">
      <selection activeCell="M7" sqref="M7"/>
    </sheetView>
  </sheetViews>
  <sheetFormatPr defaultRowHeight="14.4" x14ac:dyDescent="0.3"/>
  <cols>
    <col min="1" max="1" width="19.6640625" customWidth="1"/>
    <col min="2" max="2" width="28.109375" bestFit="1" customWidth="1"/>
    <col min="3" max="3" width="13.77734375" customWidth="1"/>
    <col min="4" max="4" width="22.6640625" customWidth="1"/>
    <col min="5" max="5" width="24.6640625" bestFit="1" customWidth="1"/>
    <col min="6" max="6" width="23.88671875" bestFit="1" customWidth="1"/>
    <col min="9" max="9" width="16.109375" bestFit="1" customWidth="1"/>
    <col min="10" max="10" width="23.88671875" bestFit="1" customWidth="1"/>
    <col min="12" max="12" width="25.5546875" bestFit="1" customWidth="1"/>
    <col min="13" max="13" width="25" bestFit="1" customWidth="1"/>
  </cols>
  <sheetData>
    <row r="3" spans="1:13" ht="17.399999999999999" customHeight="1" x14ac:dyDescent="0.3">
      <c r="A3" t="s">
        <v>1</v>
      </c>
      <c r="E3" t="s">
        <v>7</v>
      </c>
      <c r="I3" t="s">
        <v>8</v>
      </c>
      <c r="L3" t="s">
        <v>9</v>
      </c>
    </row>
    <row r="4" spans="1:13" x14ac:dyDescent="0.3">
      <c r="A4" t="s">
        <v>0</v>
      </c>
      <c r="E4" s="3" t="s">
        <v>5</v>
      </c>
      <c r="F4" t="s">
        <v>0</v>
      </c>
      <c r="I4" s="3" t="s">
        <v>5</v>
      </c>
      <c r="J4" t="s">
        <v>2</v>
      </c>
      <c r="L4" s="3" t="s">
        <v>5</v>
      </c>
      <c r="M4" t="s">
        <v>3</v>
      </c>
    </row>
    <row r="5" spans="1:13" x14ac:dyDescent="0.3">
      <c r="A5" s="17">
        <v>530</v>
      </c>
      <c r="E5" s="4" t="s">
        <v>44</v>
      </c>
      <c r="F5" s="17">
        <v>28</v>
      </c>
      <c r="I5" s="4" t="s">
        <v>44</v>
      </c>
      <c r="J5" s="1">
        <v>35.285714285714285</v>
      </c>
      <c r="L5" s="4" t="s">
        <v>44</v>
      </c>
      <c r="M5" s="1">
        <v>4.5</v>
      </c>
    </row>
    <row r="6" spans="1:13" x14ac:dyDescent="0.3">
      <c r="E6" s="4" t="s">
        <v>45</v>
      </c>
      <c r="F6" s="17">
        <v>19</v>
      </c>
      <c r="I6" s="4" t="s">
        <v>45</v>
      </c>
      <c r="J6" s="1">
        <v>31.842105263157894</v>
      </c>
      <c r="L6" s="4" t="s">
        <v>45</v>
      </c>
      <c r="M6" s="1">
        <v>4.666666666666667</v>
      </c>
    </row>
    <row r="7" spans="1:13" x14ac:dyDescent="0.3">
      <c r="E7" s="4" t="s">
        <v>46</v>
      </c>
      <c r="F7" s="17">
        <v>14</v>
      </c>
      <c r="I7" s="4" t="s">
        <v>46</v>
      </c>
      <c r="J7" s="1">
        <v>34.714285714285715</v>
      </c>
      <c r="L7" s="4" t="s">
        <v>46</v>
      </c>
      <c r="M7" s="1">
        <v>7.4</v>
      </c>
    </row>
    <row r="8" spans="1:13" x14ac:dyDescent="0.3">
      <c r="E8" s="4" t="s">
        <v>47</v>
      </c>
      <c r="F8" s="17">
        <v>17</v>
      </c>
      <c r="I8" s="4" t="s">
        <v>47</v>
      </c>
      <c r="J8" s="1">
        <v>42.823529411764703</v>
      </c>
      <c r="L8" s="4" t="s">
        <v>47</v>
      </c>
      <c r="M8" s="1">
        <v>4.5</v>
      </c>
    </row>
    <row r="9" spans="1:13" x14ac:dyDescent="0.3">
      <c r="E9" s="4" t="s">
        <v>48</v>
      </c>
      <c r="F9" s="17">
        <v>19</v>
      </c>
      <c r="I9" s="4" t="s">
        <v>48</v>
      </c>
      <c r="J9" s="1">
        <v>32.157894736842103</v>
      </c>
      <c r="L9" s="4" t="s">
        <v>48</v>
      </c>
      <c r="M9" s="1">
        <v>4.8</v>
      </c>
    </row>
    <row r="10" spans="1:13" x14ac:dyDescent="0.3">
      <c r="E10" s="4" t="s">
        <v>49</v>
      </c>
      <c r="F10" s="17">
        <v>12</v>
      </c>
      <c r="I10" s="4" t="s">
        <v>49</v>
      </c>
      <c r="J10" s="1">
        <v>34.833333333333336</v>
      </c>
      <c r="L10" s="4" t="s">
        <v>49</v>
      </c>
      <c r="M10" s="1">
        <v>4.75</v>
      </c>
    </row>
    <row r="11" spans="1:13" x14ac:dyDescent="0.3">
      <c r="E11" s="4" t="s">
        <v>50</v>
      </c>
      <c r="F11" s="17">
        <v>10</v>
      </c>
      <c r="I11" s="4" t="s">
        <v>50</v>
      </c>
      <c r="J11" s="1">
        <v>33.4</v>
      </c>
      <c r="L11" s="4" t="s">
        <v>51</v>
      </c>
      <c r="M11" s="1">
        <v>2.25</v>
      </c>
    </row>
    <row r="12" spans="1:13" x14ac:dyDescent="0.3">
      <c r="A12" t="s">
        <v>2</v>
      </c>
      <c r="E12" s="4" t="s">
        <v>51</v>
      </c>
      <c r="F12" s="17">
        <v>20</v>
      </c>
      <c r="I12" s="4" t="s">
        <v>51</v>
      </c>
      <c r="J12" s="1">
        <v>28.15</v>
      </c>
      <c r="L12" s="4" t="s">
        <v>52</v>
      </c>
      <c r="M12" s="1">
        <v>4</v>
      </c>
    </row>
    <row r="13" spans="1:13" x14ac:dyDescent="0.3">
      <c r="A13" s="1">
        <v>35.113207547169814</v>
      </c>
      <c r="E13" s="4" t="s">
        <v>52</v>
      </c>
      <c r="F13" s="17">
        <v>12</v>
      </c>
      <c r="I13" s="4" t="s">
        <v>52</v>
      </c>
      <c r="J13" s="1">
        <v>31.333333333333332</v>
      </c>
      <c r="L13" s="4" t="s">
        <v>53</v>
      </c>
      <c r="M13" s="1">
        <v>6.666666666666667</v>
      </c>
    </row>
    <row r="14" spans="1:13" x14ac:dyDescent="0.3">
      <c r="E14" s="4" t="s">
        <v>53</v>
      </c>
      <c r="F14" s="17">
        <v>24</v>
      </c>
      <c r="I14" s="4" t="s">
        <v>53</v>
      </c>
      <c r="J14" s="1">
        <v>37.375</v>
      </c>
      <c r="L14" s="4" t="s">
        <v>54</v>
      </c>
      <c r="M14" s="1">
        <v>2.6666666666666665</v>
      </c>
    </row>
    <row r="15" spans="1:13" x14ac:dyDescent="0.3">
      <c r="E15" s="4" t="s">
        <v>54</v>
      </c>
      <c r="F15" s="17">
        <v>16</v>
      </c>
      <c r="I15" s="4" t="s">
        <v>54</v>
      </c>
      <c r="J15" s="1">
        <v>36.0625</v>
      </c>
      <c r="L15" s="4" t="s">
        <v>55</v>
      </c>
      <c r="M15" s="1">
        <v>3.6666666666666665</v>
      </c>
    </row>
    <row r="16" spans="1:13" x14ac:dyDescent="0.3">
      <c r="E16" s="4" t="s">
        <v>55</v>
      </c>
      <c r="F16" s="17">
        <v>16</v>
      </c>
      <c r="I16" s="4" t="s">
        <v>55</v>
      </c>
      <c r="J16" s="1">
        <v>40.5</v>
      </c>
      <c r="L16" s="4" t="s">
        <v>56</v>
      </c>
      <c r="M16" s="1">
        <v>4</v>
      </c>
    </row>
    <row r="17" spans="1:13" x14ac:dyDescent="0.3">
      <c r="E17" s="4" t="s">
        <v>56</v>
      </c>
      <c r="F17" s="17">
        <v>14</v>
      </c>
      <c r="I17" s="4" t="s">
        <v>56</v>
      </c>
      <c r="J17" s="1">
        <v>39.571428571428569</v>
      </c>
      <c r="L17" s="4" t="s">
        <v>57</v>
      </c>
      <c r="M17" s="1">
        <v>7.5</v>
      </c>
    </row>
    <row r="18" spans="1:13" x14ac:dyDescent="0.3">
      <c r="A18" t="s">
        <v>3</v>
      </c>
      <c r="E18" s="4" t="s">
        <v>57</v>
      </c>
      <c r="F18" s="17">
        <v>12</v>
      </c>
      <c r="I18" s="4" t="s">
        <v>57</v>
      </c>
      <c r="J18" s="1">
        <v>30.25</v>
      </c>
      <c r="L18" s="4" t="s">
        <v>58</v>
      </c>
      <c r="M18" s="1">
        <v>5.5</v>
      </c>
    </row>
    <row r="19" spans="1:13" x14ac:dyDescent="0.3">
      <c r="A19" s="1">
        <v>5.1769911504424782</v>
      </c>
      <c r="E19" s="4" t="s">
        <v>58</v>
      </c>
      <c r="F19" s="17">
        <v>18</v>
      </c>
      <c r="I19" s="4" t="s">
        <v>58</v>
      </c>
      <c r="J19" s="1">
        <v>39.722222222222221</v>
      </c>
      <c r="L19" s="4" t="s">
        <v>59</v>
      </c>
      <c r="M19" s="1">
        <v>7.5</v>
      </c>
    </row>
    <row r="20" spans="1:13" x14ac:dyDescent="0.3">
      <c r="E20" s="4" t="s">
        <v>59</v>
      </c>
      <c r="F20" s="17">
        <v>15</v>
      </c>
      <c r="I20" s="4" t="s">
        <v>59</v>
      </c>
      <c r="J20" s="1">
        <v>38.133333333333333</v>
      </c>
      <c r="L20" s="4" t="s">
        <v>60</v>
      </c>
      <c r="M20" s="1">
        <v>5</v>
      </c>
    </row>
    <row r="21" spans="1:13" x14ac:dyDescent="0.3">
      <c r="E21" s="4" t="s">
        <v>60</v>
      </c>
      <c r="F21" s="17">
        <v>25</v>
      </c>
      <c r="I21" s="4" t="s">
        <v>60</v>
      </c>
      <c r="J21" s="1">
        <v>34.08</v>
      </c>
      <c r="L21" s="4" t="s">
        <v>61</v>
      </c>
      <c r="M21" s="1">
        <v>3.5</v>
      </c>
    </row>
    <row r="22" spans="1:13" x14ac:dyDescent="0.3">
      <c r="E22" s="4" t="s">
        <v>61</v>
      </c>
      <c r="F22" s="17">
        <v>15</v>
      </c>
      <c r="I22" s="4" t="s">
        <v>61</v>
      </c>
      <c r="J22" s="1">
        <v>30.066666666666666</v>
      </c>
      <c r="L22" s="4" t="s">
        <v>62</v>
      </c>
      <c r="M22" s="1">
        <v>6.5</v>
      </c>
    </row>
    <row r="23" spans="1:13" x14ac:dyDescent="0.3">
      <c r="E23" s="4" t="s">
        <v>62</v>
      </c>
      <c r="F23" s="17">
        <v>19</v>
      </c>
      <c r="I23" s="4" t="s">
        <v>62</v>
      </c>
      <c r="J23" s="1">
        <v>33.263157894736842</v>
      </c>
      <c r="L23" s="4" t="s">
        <v>63</v>
      </c>
      <c r="M23" s="1">
        <v>5.833333333333333</v>
      </c>
    </row>
    <row r="24" spans="1:13" x14ac:dyDescent="0.3">
      <c r="E24" s="4" t="s">
        <v>63</v>
      </c>
      <c r="F24" s="17">
        <v>23</v>
      </c>
      <c r="I24" s="4" t="s">
        <v>63</v>
      </c>
      <c r="J24" s="1">
        <v>38.565217391304351</v>
      </c>
      <c r="L24" s="4" t="s">
        <v>64</v>
      </c>
      <c r="M24" s="1">
        <v>4.5</v>
      </c>
    </row>
    <row r="25" spans="1:13" x14ac:dyDescent="0.3">
      <c r="E25" s="4" t="s">
        <v>64</v>
      </c>
      <c r="F25" s="17">
        <v>10</v>
      </c>
      <c r="I25" s="4" t="s">
        <v>64</v>
      </c>
      <c r="J25" s="1">
        <v>28.6</v>
      </c>
      <c r="L25" s="4" t="s">
        <v>65</v>
      </c>
      <c r="M25" s="1">
        <v>3.75</v>
      </c>
    </row>
    <row r="26" spans="1:13" x14ac:dyDescent="0.3">
      <c r="E26" s="4" t="s">
        <v>65</v>
      </c>
      <c r="F26" s="17">
        <v>14</v>
      </c>
      <c r="I26" s="4" t="s">
        <v>65</v>
      </c>
      <c r="J26" s="1">
        <v>36.285714285714285</v>
      </c>
      <c r="L26" s="4" t="s">
        <v>66</v>
      </c>
      <c r="M26" s="1">
        <v>10</v>
      </c>
    </row>
    <row r="27" spans="1:13" x14ac:dyDescent="0.3">
      <c r="E27" s="4" t="s">
        <v>66</v>
      </c>
      <c r="F27" s="17">
        <v>16</v>
      </c>
      <c r="I27" s="4" t="s">
        <v>66</v>
      </c>
      <c r="J27" s="1">
        <v>40.375</v>
      </c>
      <c r="L27" s="4" t="s">
        <v>67</v>
      </c>
      <c r="M27" s="1">
        <v>4</v>
      </c>
    </row>
    <row r="28" spans="1:13" x14ac:dyDescent="0.3">
      <c r="E28" s="4" t="s">
        <v>67</v>
      </c>
      <c r="F28" s="17">
        <v>18</v>
      </c>
      <c r="I28" s="4" t="s">
        <v>67</v>
      </c>
      <c r="J28" s="1">
        <v>34.666666666666664</v>
      </c>
      <c r="L28" s="4" t="s">
        <v>68</v>
      </c>
      <c r="M28" s="1">
        <v>8.3333333333333339</v>
      </c>
    </row>
    <row r="29" spans="1:13" x14ac:dyDescent="0.3">
      <c r="E29" s="4" t="s">
        <v>68</v>
      </c>
      <c r="F29" s="17">
        <v>22</v>
      </c>
      <c r="I29" s="4" t="s">
        <v>68</v>
      </c>
      <c r="J29" s="1">
        <v>34.863636363636367</v>
      </c>
      <c r="L29" s="4" t="s">
        <v>69</v>
      </c>
      <c r="M29" s="1">
        <v>3.25</v>
      </c>
    </row>
    <row r="30" spans="1:13" x14ac:dyDescent="0.3">
      <c r="E30" s="4" t="s">
        <v>69</v>
      </c>
      <c r="F30" s="17">
        <v>14</v>
      </c>
      <c r="I30" s="4" t="s">
        <v>69</v>
      </c>
      <c r="J30" s="1">
        <v>30.928571428571427</v>
      </c>
      <c r="L30" s="4" t="s">
        <v>70</v>
      </c>
      <c r="M30" s="1">
        <v>6</v>
      </c>
    </row>
    <row r="31" spans="1:13" x14ac:dyDescent="0.3">
      <c r="E31" s="4" t="s">
        <v>70</v>
      </c>
      <c r="F31" s="17">
        <v>15</v>
      </c>
      <c r="I31" s="4" t="s">
        <v>70</v>
      </c>
      <c r="J31" s="1">
        <v>35.6</v>
      </c>
      <c r="L31" s="4" t="s">
        <v>71</v>
      </c>
      <c r="M31" s="1">
        <v>6</v>
      </c>
    </row>
    <row r="32" spans="1:13" x14ac:dyDescent="0.3">
      <c r="E32" s="4" t="s">
        <v>71</v>
      </c>
      <c r="F32" s="17">
        <v>21</v>
      </c>
      <c r="I32" s="4" t="s">
        <v>71</v>
      </c>
      <c r="J32" s="1">
        <v>34.952380952380949</v>
      </c>
      <c r="L32" s="4" t="s">
        <v>72</v>
      </c>
      <c r="M32" s="1">
        <v>3.3333333333333335</v>
      </c>
    </row>
    <row r="33" spans="1:13" x14ac:dyDescent="0.3">
      <c r="E33" s="4" t="s">
        <v>72</v>
      </c>
      <c r="F33" s="17">
        <v>17</v>
      </c>
      <c r="I33" s="4" t="s">
        <v>72</v>
      </c>
      <c r="J33" s="1">
        <v>34.411764705882355</v>
      </c>
      <c r="L33" s="4" t="s">
        <v>73</v>
      </c>
      <c r="M33" s="1">
        <v>6.666666666666667</v>
      </c>
    </row>
    <row r="34" spans="1:13" x14ac:dyDescent="0.3">
      <c r="E34" s="4" t="s">
        <v>73</v>
      </c>
      <c r="F34" s="17">
        <v>16</v>
      </c>
      <c r="I34" s="4" t="s">
        <v>73</v>
      </c>
      <c r="J34" s="1">
        <v>34</v>
      </c>
      <c r="L34" s="4" t="s">
        <v>74</v>
      </c>
      <c r="M34" s="1">
        <v>5.625</v>
      </c>
    </row>
    <row r="35" spans="1:13" x14ac:dyDescent="0.3">
      <c r="E35" s="4" t="s">
        <v>74</v>
      </c>
      <c r="F35" s="17">
        <v>19</v>
      </c>
      <c r="I35" s="4" t="s">
        <v>74</v>
      </c>
      <c r="J35" s="1">
        <v>36.421052631578945</v>
      </c>
      <c r="L35" s="4" t="s">
        <v>6</v>
      </c>
      <c r="M35" s="1">
        <v>5.1769911504424782</v>
      </c>
    </row>
    <row r="36" spans="1:13" x14ac:dyDescent="0.3">
      <c r="E36" s="4" t="s">
        <v>6</v>
      </c>
      <c r="F36" s="17">
        <v>530</v>
      </c>
      <c r="I36" s="4" t="s">
        <v>6</v>
      </c>
      <c r="J36" s="1">
        <v>35.113207547169814</v>
      </c>
    </row>
    <row r="39" spans="1:13" x14ac:dyDescent="0.3">
      <c r="A39" s="3" t="s">
        <v>5</v>
      </c>
      <c r="B39" t="s">
        <v>10</v>
      </c>
      <c r="C39" t="s">
        <v>13</v>
      </c>
    </row>
    <row r="40" spans="1:13" x14ac:dyDescent="0.3">
      <c r="A40" s="4" t="s">
        <v>11</v>
      </c>
      <c r="B40" s="1">
        <v>242</v>
      </c>
      <c r="C40" s="7">
        <v>0.45660377358490567</v>
      </c>
    </row>
    <row r="41" spans="1:13" x14ac:dyDescent="0.3">
      <c r="A41" s="4" t="s">
        <v>12</v>
      </c>
      <c r="B41" s="1">
        <v>288</v>
      </c>
      <c r="C41" s="7">
        <v>0.54339622641509433</v>
      </c>
    </row>
    <row r="42" spans="1:13" x14ac:dyDescent="0.3">
      <c r="A42" s="4" t="s">
        <v>6</v>
      </c>
      <c r="B42" s="1">
        <v>530</v>
      </c>
      <c r="C42" s="7">
        <v>1</v>
      </c>
    </row>
    <row r="43" spans="1:13" x14ac:dyDescent="0.3">
      <c r="E43" s="12"/>
    </row>
    <row r="45" spans="1:13" x14ac:dyDescent="0.3">
      <c r="A45" s="13" t="s">
        <v>14</v>
      </c>
      <c r="B45" s="13" t="s">
        <v>16</v>
      </c>
      <c r="C45" s="13" t="s">
        <v>15</v>
      </c>
      <c r="D45" s="8"/>
      <c r="E45" s="9"/>
    </row>
    <row r="46" spans="1:13" x14ac:dyDescent="0.3">
      <c r="A46" s="15" t="str">
        <f>A41</f>
        <v>Not Admitted</v>
      </c>
      <c r="B46" s="15">
        <f>B41</f>
        <v>288</v>
      </c>
      <c r="C46" s="16">
        <f>C41</f>
        <v>0.54339622641509433</v>
      </c>
      <c r="D46" s="5"/>
      <c r="E46" t="s">
        <v>4</v>
      </c>
    </row>
    <row r="47" spans="1:13" x14ac:dyDescent="0.3">
      <c r="A47" s="15" t="str">
        <f>A40</f>
        <v>Admitted</v>
      </c>
      <c r="B47" s="15">
        <f>B40</f>
        <v>242</v>
      </c>
      <c r="C47" s="16">
        <f>C40</f>
        <v>0.45660377358490567</v>
      </c>
      <c r="D47" s="5"/>
    </row>
    <row r="48" spans="1:13" x14ac:dyDescent="0.3">
      <c r="B48" s="14"/>
    </row>
    <row r="49" spans="1:6" x14ac:dyDescent="0.3">
      <c r="E49" s="4" t="s">
        <v>21</v>
      </c>
    </row>
    <row r="50" spans="1:6" x14ac:dyDescent="0.3">
      <c r="A50" t="s">
        <v>17</v>
      </c>
      <c r="E50" s="3" t="s">
        <v>5</v>
      </c>
      <c r="F50" t="s">
        <v>30</v>
      </c>
    </row>
    <row r="51" spans="1:6" x14ac:dyDescent="0.3">
      <c r="A51" s="3" t="s">
        <v>5</v>
      </c>
      <c r="B51" t="s">
        <v>20</v>
      </c>
      <c r="E51" s="4" t="s">
        <v>22</v>
      </c>
      <c r="F51" s="10">
        <v>63</v>
      </c>
    </row>
    <row r="52" spans="1:6" x14ac:dyDescent="0.3">
      <c r="A52" s="4" t="s">
        <v>18</v>
      </c>
      <c r="B52" s="10">
        <v>323</v>
      </c>
      <c r="E52" s="4" t="s">
        <v>23</v>
      </c>
      <c r="F52" s="10">
        <v>63</v>
      </c>
    </row>
    <row r="53" spans="1:6" x14ac:dyDescent="0.3">
      <c r="A53" s="4" t="s">
        <v>19</v>
      </c>
      <c r="B53" s="10">
        <v>207</v>
      </c>
      <c r="E53" s="4" t="s">
        <v>24</v>
      </c>
      <c r="F53" s="10">
        <v>65</v>
      </c>
    </row>
    <row r="54" spans="1:6" x14ac:dyDescent="0.3">
      <c r="A54" s="4" t="s">
        <v>6</v>
      </c>
      <c r="B54" s="10">
        <v>530</v>
      </c>
      <c r="E54" s="4" t="s">
        <v>25</v>
      </c>
      <c r="F54" s="10">
        <v>60</v>
      </c>
    </row>
    <row r="55" spans="1:6" x14ac:dyDescent="0.3">
      <c r="E55" s="4" t="s">
        <v>26</v>
      </c>
      <c r="F55" s="10">
        <v>65</v>
      </c>
    </row>
    <row r="56" spans="1:6" x14ac:dyDescent="0.3">
      <c r="E56" s="4" t="s">
        <v>27</v>
      </c>
      <c r="F56" s="10">
        <v>72</v>
      </c>
    </row>
    <row r="57" spans="1:6" x14ac:dyDescent="0.3">
      <c r="E57" s="4" t="s">
        <v>28</v>
      </c>
      <c r="F57" s="10">
        <v>73</v>
      </c>
    </row>
    <row r="58" spans="1:6" x14ac:dyDescent="0.3">
      <c r="A58" s="4" t="s">
        <v>34</v>
      </c>
      <c r="E58" s="4" t="s">
        <v>29</v>
      </c>
      <c r="F58" s="10">
        <v>69</v>
      </c>
    </row>
    <row r="59" spans="1:6" x14ac:dyDescent="0.3">
      <c r="A59" s="3" t="s">
        <v>5</v>
      </c>
      <c r="B59" t="s">
        <v>33</v>
      </c>
      <c r="E59" s="4" t="s">
        <v>6</v>
      </c>
      <c r="F59" s="10">
        <v>530</v>
      </c>
    </row>
    <row r="60" spans="1:6" x14ac:dyDescent="0.3">
      <c r="A60" s="4" t="s">
        <v>31</v>
      </c>
      <c r="B60" s="1">
        <v>259</v>
      </c>
    </row>
    <row r="61" spans="1:6" x14ac:dyDescent="0.3">
      <c r="A61" s="4" t="s">
        <v>32</v>
      </c>
      <c r="B61" s="1">
        <v>271</v>
      </c>
    </row>
    <row r="62" spans="1:6" x14ac:dyDescent="0.3">
      <c r="A62" s="4" t="s">
        <v>6</v>
      </c>
      <c r="B62" s="10">
        <v>530</v>
      </c>
    </row>
    <row r="66" spans="1:2" x14ac:dyDescent="0.3">
      <c r="A66" s="3" t="s">
        <v>5</v>
      </c>
      <c r="B66" t="s">
        <v>43</v>
      </c>
    </row>
    <row r="67" spans="1:2" x14ac:dyDescent="0.3">
      <c r="A67" s="4" t="s">
        <v>42</v>
      </c>
      <c r="B67" s="10">
        <v>7</v>
      </c>
    </row>
    <row r="68" spans="1:2" x14ac:dyDescent="0.3">
      <c r="A68" s="4" t="s">
        <v>36</v>
      </c>
      <c r="B68" s="10">
        <v>10</v>
      </c>
    </row>
    <row r="69" spans="1:2" x14ac:dyDescent="0.3">
      <c r="A69" s="4" t="s">
        <v>35</v>
      </c>
      <c r="B69" s="10">
        <v>12</v>
      </c>
    </row>
    <row r="70" spans="1:2" x14ac:dyDescent="0.3">
      <c r="A70" s="4" t="s">
        <v>38</v>
      </c>
      <c r="B70" s="10">
        <v>14</v>
      </c>
    </row>
    <row r="71" spans="1:2" x14ac:dyDescent="0.3">
      <c r="A71" s="4" t="s">
        <v>41</v>
      </c>
      <c r="B71" s="10">
        <v>18</v>
      </c>
    </row>
    <row r="72" spans="1:2" x14ac:dyDescent="0.3">
      <c r="A72" s="4" t="s">
        <v>40</v>
      </c>
      <c r="B72" s="10">
        <v>53</v>
      </c>
    </row>
    <row r="73" spans="1:2" x14ac:dyDescent="0.3">
      <c r="A73" s="4" t="s">
        <v>37</v>
      </c>
      <c r="B73" s="10">
        <v>109</v>
      </c>
    </row>
    <row r="74" spans="1:2" x14ac:dyDescent="0.3">
      <c r="A74" s="4" t="s">
        <v>39</v>
      </c>
      <c r="B74" s="10">
        <v>307</v>
      </c>
    </row>
    <row r="75" spans="1:2" x14ac:dyDescent="0.3">
      <c r="A75" s="4" t="s">
        <v>6</v>
      </c>
      <c r="B75" s="10">
        <v>530</v>
      </c>
    </row>
    <row r="79" spans="1:2" x14ac:dyDescent="0.3">
      <c r="A79" s="3" t="s">
        <v>5</v>
      </c>
    </row>
    <row r="80" spans="1:2" x14ac:dyDescent="0.3">
      <c r="A80" s="4" t="s">
        <v>75</v>
      </c>
    </row>
    <row r="81" spans="1:1" x14ac:dyDescent="0.3">
      <c r="A81" s="4" t="s">
        <v>6</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0754B-A438-4EA5-A429-CD3D43470A52}">
  <dimension ref="A1:M17"/>
  <sheetViews>
    <sheetView tabSelected="1" zoomScale="174" zoomScaleNormal="174" workbookViewId="0">
      <selection activeCell="P15" sqref="P15"/>
    </sheetView>
  </sheetViews>
  <sheetFormatPr defaultRowHeight="14.4" x14ac:dyDescent="0.3"/>
  <cols>
    <col min="1" max="6" width="8.88671875" style="18"/>
    <col min="7" max="7" width="8.88671875" style="18" customWidth="1"/>
    <col min="8" max="16384" width="8.88671875" style="18"/>
  </cols>
  <sheetData>
    <row r="1" spans="1:13" x14ac:dyDescent="0.3">
      <c r="A1" s="2"/>
      <c r="B1" s="2"/>
      <c r="C1" s="2"/>
      <c r="D1" s="2"/>
      <c r="E1" s="2"/>
      <c r="F1" s="2"/>
      <c r="G1" s="2"/>
      <c r="H1" s="2"/>
      <c r="I1" s="2"/>
      <c r="J1" s="2"/>
      <c r="K1" s="2"/>
      <c r="L1" s="2"/>
    </row>
    <row r="2" spans="1:13" x14ac:dyDescent="0.3">
      <c r="A2" s="2"/>
      <c r="B2" s="2"/>
      <c r="C2" s="2"/>
      <c r="D2" s="2"/>
      <c r="E2" s="2"/>
      <c r="F2" s="2"/>
      <c r="G2" s="2"/>
      <c r="H2" s="2"/>
      <c r="I2" s="2"/>
      <c r="J2" s="2"/>
      <c r="K2" s="2"/>
      <c r="L2" s="2"/>
    </row>
    <row r="3" spans="1:13" x14ac:dyDescent="0.3">
      <c r="A3" s="2"/>
      <c r="B3" s="2"/>
      <c r="C3" s="2"/>
      <c r="D3" s="2"/>
      <c r="E3" s="2"/>
      <c r="F3" s="2"/>
      <c r="G3" s="2"/>
      <c r="H3" s="2"/>
      <c r="I3" s="2"/>
      <c r="J3" s="2"/>
      <c r="K3" s="2"/>
      <c r="L3" s="2"/>
    </row>
    <row r="4" spans="1:13" x14ac:dyDescent="0.3">
      <c r="A4" s="2"/>
      <c r="B4" s="2"/>
      <c r="C4" s="2"/>
      <c r="D4" s="2"/>
      <c r="E4" s="2"/>
      <c r="F4" s="2"/>
      <c r="G4" s="2"/>
      <c r="H4" s="2"/>
      <c r="I4" s="2"/>
      <c r="J4" s="2"/>
      <c r="K4" s="2"/>
      <c r="L4" s="2"/>
    </row>
    <row r="5" spans="1:13" x14ac:dyDescent="0.3">
      <c r="A5" s="2"/>
      <c r="B5" s="2"/>
      <c r="C5" s="2"/>
      <c r="D5" s="2"/>
      <c r="E5" s="2"/>
      <c r="F5" s="2"/>
      <c r="G5" s="2"/>
      <c r="H5" s="2"/>
      <c r="I5" s="2"/>
      <c r="J5" s="2"/>
      <c r="K5" s="2"/>
      <c r="L5" s="2"/>
      <c r="M5" s="18" t="s">
        <v>4</v>
      </c>
    </row>
    <row r="6" spans="1:13" x14ac:dyDescent="0.3">
      <c r="A6" s="2"/>
      <c r="B6" s="2"/>
      <c r="C6" s="2"/>
      <c r="D6" s="2"/>
      <c r="E6" s="2"/>
      <c r="F6" s="2"/>
      <c r="G6" s="2"/>
      <c r="H6" s="2"/>
      <c r="I6" s="2"/>
      <c r="J6" s="2"/>
      <c r="K6" s="2"/>
      <c r="L6" s="2"/>
    </row>
    <row r="7" spans="1:13" x14ac:dyDescent="0.3">
      <c r="A7" s="2"/>
      <c r="B7" s="2"/>
      <c r="C7" s="2"/>
      <c r="D7" s="2"/>
      <c r="E7" s="2"/>
      <c r="F7" s="2"/>
      <c r="G7" s="2"/>
      <c r="H7" s="2"/>
      <c r="I7" s="2"/>
      <c r="J7" s="2"/>
      <c r="K7" s="2"/>
      <c r="L7" s="2"/>
    </row>
    <row r="8" spans="1:13" x14ac:dyDescent="0.3">
      <c r="A8" s="2"/>
      <c r="B8" s="2"/>
      <c r="C8" s="2"/>
      <c r="D8" s="2"/>
      <c r="E8" s="2"/>
      <c r="F8" s="2"/>
      <c r="G8" s="2"/>
      <c r="H8" s="2"/>
      <c r="I8" s="2"/>
      <c r="J8" s="2"/>
      <c r="K8" s="2"/>
      <c r="L8" s="2"/>
    </row>
    <row r="9" spans="1:13" x14ac:dyDescent="0.3">
      <c r="A9" s="2"/>
      <c r="B9" s="2"/>
      <c r="C9" s="2"/>
      <c r="D9" s="2"/>
      <c r="E9" s="2"/>
      <c r="F9" s="2"/>
      <c r="G9" s="2"/>
      <c r="H9" s="2"/>
      <c r="I9" s="2"/>
      <c r="J9" s="2"/>
      <c r="K9" s="2"/>
      <c r="L9" s="2"/>
    </row>
    <row r="10" spans="1:13" x14ac:dyDescent="0.3">
      <c r="A10" s="2"/>
      <c r="B10" s="2"/>
      <c r="C10" s="2"/>
      <c r="D10" s="2"/>
      <c r="E10" s="2"/>
      <c r="F10" s="2"/>
      <c r="G10" s="2"/>
      <c r="H10" s="2"/>
      <c r="I10" s="2"/>
      <c r="J10" s="2"/>
      <c r="K10" s="2"/>
      <c r="L10" s="2"/>
    </row>
    <row r="11" spans="1:13" x14ac:dyDescent="0.3">
      <c r="A11" s="2"/>
      <c r="B11" s="2"/>
      <c r="C11" s="2"/>
      <c r="D11" s="2"/>
      <c r="E11" s="2"/>
      <c r="F11" s="2"/>
      <c r="G11" s="2"/>
      <c r="H11" s="2"/>
      <c r="I11" s="2"/>
      <c r="J11" s="2"/>
      <c r="K11" s="2"/>
      <c r="L11" s="2"/>
    </row>
    <row r="12" spans="1:13" x14ac:dyDescent="0.3">
      <c r="A12" s="2"/>
      <c r="B12" s="2"/>
      <c r="C12" s="2"/>
      <c r="D12" s="2"/>
      <c r="E12" s="2"/>
      <c r="F12" s="2"/>
      <c r="G12" s="2"/>
      <c r="H12" s="2"/>
      <c r="I12" s="2"/>
      <c r="J12" s="2"/>
      <c r="K12" s="2"/>
      <c r="L12" s="2"/>
    </row>
    <row r="13" spans="1:13" x14ac:dyDescent="0.3">
      <c r="A13" s="2"/>
      <c r="B13" s="2"/>
      <c r="C13" s="2"/>
      <c r="D13" s="2"/>
      <c r="E13" s="2"/>
      <c r="F13" s="2"/>
      <c r="G13" s="2"/>
      <c r="H13" s="2"/>
      <c r="I13" s="2"/>
      <c r="J13" s="2"/>
      <c r="K13" s="2"/>
      <c r="L13" s="2"/>
    </row>
    <row r="14" spans="1:13" x14ac:dyDescent="0.3">
      <c r="A14" s="2"/>
      <c r="B14" s="2"/>
      <c r="C14" s="2"/>
      <c r="D14" s="2"/>
      <c r="E14" s="2"/>
      <c r="F14" s="2"/>
      <c r="G14" s="2"/>
      <c r="H14" s="2"/>
      <c r="I14" s="2"/>
      <c r="J14" s="2"/>
      <c r="K14" s="2"/>
      <c r="L14" s="2"/>
    </row>
    <row r="15" spans="1:13" x14ac:dyDescent="0.3">
      <c r="A15" s="2"/>
      <c r="B15" s="2"/>
      <c r="C15" s="2"/>
      <c r="D15" s="2"/>
      <c r="E15" s="2"/>
      <c r="F15" s="2"/>
      <c r="G15" s="2"/>
      <c r="H15" s="2"/>
      <c r="I15" s="2"/>
      <c r="J15" s="2"/>
      <c r="K15" s="2"/>
      <c r="L15" s="2"/>
    </row>
    <row r="16" spans="1:13" x14ac:dyDescent="0.3">
      <c r="A16" s="2"/>
      <c r="B16" s="2"/>
      <c r="C16" s="2"/>
      <c r="D16" s="2"/>
      <c r="E16" s="2"/>
      <c r="F16" s="2"/>
      <c r="G16" s="2"/>
      <c r="H16" s="2"/>
      <c r="I16" s="2"/>
      <c r="J16" s="2"/>
      <c r="K16" s="2"/>
      <c r="L16" s="2"/>
    </row>
    <row r="17" spans="1:12" x14ac:dyDescent="0.3">
      <c r="A17" s="2"/>
      <c r="B17" s="2"/>
      <c r="C17" s="2"/>
      <c r="D17" s="2"/>
      <c r="E17" s="2"/>
      <c r="F17" s="2"/>
      <c r="G17" s="2"/>
      <c r="H17" s="11"/>
      <c r="I17" s="2"/>
      <c r="J17" s="2"/>
      <c r="K17" s="2"/>
      <c r="L17"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60BF0-1EA7-490D-93E9-AB2A7426583C}">
  <dimension ref="A1:R29"/>
  <sheetViews>
    <sheetView workbookViewId="0"/>
  </sheetViews>
  <sheetFormatPr defaultRowHeight="14.4" x14ac:dyDescent="0.3"/>
  <sheetData>
    <row r="1" spans="1:18" x14ac:dyDescent="0.3">
      <c r="A1" s="5"/>
      <c r="B1" s="5"/>
      <c r="C1" s="5"/>
      <c r="D1" s="5"/>
      <c r="E1" s="5"/>
      <c r="F1" s="5"/>
      <c r="G1" s="5"/>
      <c r="H1" s="5"/>
      <c r="I1" s="5"/>
      <c r="J1" s="5"/>
      <c r="K1" s="5"/>
      <c r="L1" s="5"/>
      <c r="M1" s="5"/>
      <c r="N1" s="5"/>
      <c r="O1" s="5"/>
      <c r="P1" s="5"/>
      <c r="Q1" s="5"/>
      <c r="R1" s="5"/>
    </row>
    <row r="2" spans="1:18" x14ac:dyDescent="0.3">
      <c r="A2" s="5"/>
      <c r="B2" s="5"/>
      <c r="C2" s="5"/>
      <c r="D2" s="5"/>
      <c r="E2" s="5"/>
      <c r="F2" s="5"/>
      <c r="G2" s="5"/>
      <c r="H2" s="5"/>
      <c r="I2" s="5"/>
      <c r="J2" s="5"/>
      <c r="K2" s="5"/>
      <c r="L2" s="5"/>
      <c r="M2" s="5"/>
      <c r="N2" s="5"/>
      <c r="O2" s="5"/>
      <c r="P2" s="5"/>
      <c r="Q2" s="5"/>
      <c r="R2" s="5"/>
    </row>
    <row r="3" spans="1:18" x14ac:dyDescent="0.3">
      <c r="A3" s="5"/>
      <c r="B3" s="5"/>
      <c r="C3" s="5"/>
      <c r="D3" s="5"/>
      <c r="E3" s="5"/>
      <c r="F3" s="5"/>
      <c r="G3" s="5"/>
      <c r="H3" s="5"/>
      <c r="I3" s="5"/>
      <c r="J3" s="5"/>
      <c r="K3" s="5"/>
      <c r="L3" s="5"/>
      <c r="M3" s="5"/>
      <c r="N3" s="5"/>
      <c r="O3" s="5"/>
      <c r="P3" s="5"/>
      <c r="Q3" s="5"/>
      <c r="R3" s="5"/>
    </row>
    <row r="4" spans="1:18" x14ac:dyDescent="0.3">
      <c r="A4" s="5"/>
      <c r="B4" s="5"/>
      <c r="C4" s="5"/>
      <c r="D4" s="5"/>
      <c r="E4" s="5"/>
      <c r="F4" s="5"/>
      <c r="G4" s="5"/>
      <c r="H4" s="5"/>
      <c r="I4" s="5"/>
      <c r="J4" s="5"/>
      <c r="K4" s="5"/>
      <c r="L4" s="5"/>
      <c r="M4" s="5"/>
      <c r="N4" s="5"/>
      <c r="O4" s="5"/>
      <c r="P4" s="5"/>
      <c r="Q4" s="5"/>
      <c r="R4" s="5"/>
    </row>
    <row r="5" spans="1:18" x14ac:dyDescent="0.3">
      <c r="A5" s="5"/>
      <c r="B5" s="5"/>
      <c r="C5" s="5"/>
      <c r="D5" s="5"/>
      <c r="E5" s="5"/>
      <c r="F5" s="5"/>
      <c r="G5" s="5"/>
      <c r="H5" s="5"/>
      <c r="I5" s="5"/>
      <c r="J5" s="5"/>
      <c r="K5" s="5"/>
      <c r="L5" s="5"/>
      <c r="M5" s="5"/>
      <c r="N5" s="5"/>
      <c r="O5" s="5"/>
      <c r="P5" s="5"/>
      <c r="Q5" s="5"/>
      <c r="R5" s="5"/>
    </row>
    <row r="6" spans="1:18" x14ac:dyDescent="0.3">
      <c r="A6" s="5"/>
      <c r="B6" s="5"/>
      <c r="C6" s="5"/>
      <c r="D6" s="5"/>
      <c r="E6" s="5"/>
      <c r="F6" s="5"/>
      <c r="G6" s="5"/>
      <c r="H6" s="5"/>
      <c r="I6" s="5"/>
      <c r="J6" s="5"/>
      <c r="K6" s="5"/>
      <c r="L6" s="5"/>
      <c r="M6" s="5"/>
      <c r="N6" s="5"/>
      <c r="O6" s="5"/>
      <c r="P6" s="5"/>
      <c r="Q6" s="5"/>
      <c r="R6" s="5"/>
    </row>
    <row r="7" spans="1:18" x14ac:dyDescent="0.3">
      <c r="A7" s="5"/>
      <c r="B7" s="5"/>
      <c r="C7" s="5"/>
      <c r="D7" s="5"/>
      <c r="E7" s="5"/>
      <c r="F7" s="5"/>
      <c r="G7" s="5"/>
      <c r="H7" s="5"/>
      <c r="I7" s="5"/>
      <c r="J7" s="5"/>
      <c r="K7" s="5"/>
      <c r="L7" s="5"/>
      <c r="M7" s="5"/>
      <c r="N7" s="5"/>
      <c r="O7" s="5"/>
      <c r="P7" s="5"/>
      <c r="Q7" s="5" t="s">
        <v>4</v>
      </c>
      <c r="R7" s="5"/>
    </row>
    <row r="8" spans="1:18" x14ac:dyDescent="0.3">
      <c r="A8" s="5"/>
      <c r="B8" s="5"/>
      <c r="C8" s="5"/>
      <c r="D8" s="5"/>
      <c r="E8" s="5"/>
      <c r="F8" s="5"/>
      <c r="G8" s="5"/>
      <c r="H8" s="5"/>
      <c r="I8" s="5"/>
      <c r="J8" s="5"/>
      <c r="K8" s="5"/>
      <c r="L8" s="5"/>
      <c r="M8" s="5"/>
      <c r="N8" s="5"/>
      <c r="O8" s="5"/>
      <c r="P8" s="5"/>
      <c r="Q8" s="5"/>
      <c r="R8" s="5"/>
    </row>
    <row r="9" spans="1:18" x14ac:dyDescent="0.3">
      <c r="A9" s="5"/>
      <c r="B9" s="5"/>
      <c r="C9" s="5"/>
      <c r="D9" s="5"/>
      <c r="E9" s="5"/>
      <c r="F9" s="5"/>
      <c r="G9" s="5"/>
      <c r="H9" s="5"/>
      <c r="I9" s="5"/>
      <c r="J9" s="5"/>
      <c r="K9" s="5"/>
      <c r="L9" s="5"/>
      <c r="M9" s="5"/>
      <c r="N9" s="5"/>
      <c r="O9" s="5"/>
      <c r="P9" s="5"/>
      <c r="Q9" s="5"/>
      <c r="R9" s="5"/>
    </row>
    <row r="10" spans="1:18" x14ac:dyDescent="0.3">
      <c r="A10" s="5"/>
      <c r="B10" s="5"/>
      <c r="C10" s="5"/>
      <c r="D10" s="5"/>
      <c r="E10" s="5"/>
      <c r="F10" s="5"/>
      <c r="G10" s="5"/>
      <c r="H10" s="5"/>
      <c r="I10" s="5"/>
      <c r="J10" s="5"/>
      <c r="K10" s="5"/>
      <c r="L10" s="5"/>
      <c r="M10" s="5"/>
      <c r="N10" s="5"/>
      <c r="O10" s="5"/>
      <c r="P10" s="5"/>
      <c r="Q10" s="5"/>
      <c r="R10" s="5"/>
    </row>
    <row r="11" spans="1:18" x14ac:dyDescent="0.3">
      <c r="A11" s="5"/>
      <c r="B11" s="5"/>
      <c r="C11" s="5"/>
      <c r="D11" s="5"/>
      <c r="E11" s="5"/>
      <c r="F11" s="5"/>
      <c r="G11" s="5"/>
      <c r="H11" s="5"/>
      <c r="I11" s="5"/>
      <c r="J11" s="5"/>
      <c r="K11" s="5"/>
      <c r="L11" s="5"/>
      <c r="M11" s="5"/>
      <c r="N11" s="5"/>
      <c r="O11" s="5"/>
      <c r="P11" s="5"/>
      <c r="Q11" s="5"/>
      <c r="R11" s="5"/>
    </row>
    <row r="12" spans="1:18" x14ac:dyDescent="0.3">
      <c r="A12" s="5"/>
      <c r="B12" s="5"/>
      <c r="C12" s="5"/>
      <c r="D12" s="5"/>
      <c r="E12" s="5"/>
      <c r="F12" s="5"/>
      <c r="G12" s="5"/>
      <c r="H12" s="5"/>
      <c r="I12" s="5"/>
      <c r="J12" s="5"/>
      <c r="K12" s="5"/>
      <c r="L12" s="5"/>
      <c r="M12" s="5"/>
      <c r="N12" s="5"/>
      <c r="O12" s="5"/>
      <c r="P12" s="5"/>
      <c r="Q12" s="5"/>
      <c r="R12" s="5"/>
    </row>
    <row r="13" spans="1:18" x14ac:dyDescent="0.3">
      <c r="A13" s="5"/>
      <c r="B13" s="5"/>
      <c r="C13" s="5"/>
      <c r="D13" s="5"/>
      <c r="E13" s="5"/>
      <c r="F13" s="5"/>
      <c r="G13" s="5"/>
      <c r="H13" s="5"/>
      <c r="I13" s="5"/>
      <c r="J13" s="5"/>
      <c r="K13" s="5"/>
      <c r="L13" s="5"/>
      <c r="M13" s="5"/>
      <c r="N13" s="5"/>
      <c r="O13" s="5"/>
      <c r="P13" s="5"/>
      <c r="Q13" s="5"/>
      <c r="R13" s="5"/>
    </row>
    <row r="14" spans="1:18" x14ac:dyDescent="0.3">
      <c r="A14" s="5"/>
      <c r="B14" s="5"/>
      <c r="C14" s="5"/>
      <c r="D14" s="5"/>
      <c r="E14" s="5"/>
      <c r="F14" s="5"/>
      <c r="G14" s="5"/>
      <c r="H14" s="5"/>
      <c r="I14" s="5"/>
      <c r="J14" s="5"/>
      <c r="K14" s="5"/>
      <c r="L14" s="5"/>
      <c r="M14" s="5"/>
      <c r="N14" s="5"/>
      <c r="O14" s="5"/>
      <c r="P14" s="5"/>
      <c r="Q14" s="5"/>
      <c r="R14" s="5"/>
    </row>
    <row r="15" spans="1:18" x14ac:dyDescent="0.3">
      <c r="A15" s="5"/>
      <c r="B15" s="5"/>
      <c r="C15" s="5"/>
      <c r="D15" s="5"/>
      <c r="E15" s="5"/>
      <c r="F15" s="5"/>
      <c r="G15" s="5"/>
      <c r="H15" s="5"/>
      <c r="I15" s="5"/>
      <c r="J15" s="5"/>
      <c r="K15" s="5"/>
      <c r="L15" s="5"/>
      <c r="M15" s="5"/>
      <c r="N15" s="5"/>
      <c r="O15" s="5"/>
      <c r="P15" s="5"/>
      <c r="Q15" s="5"/>
      <c r="R15" s="5"/>
    </row>
    <row r="16" spans="1:18" x14ac:dyDescent="0.3">
      <c r="A16" s="5"/>
      <c r="B16" s="5"/>
      <c r="C16" s="5"/>
      <c r="D16" s="5"/>
      <c r="E16" s="5"/>
      <c r="F16" s="5"/>
      <c r="G16" s="5"/>
      <c r="H16" s="5"/>
      <c r="I16" s="5"/>
      <c r="J16" s="5"/>
      <c r="K16" s="5"/>
      <c r="L16" s="5"/>
      <c r="M16" s="5"/>
      <c r="N16" s="5"/>
      <c r="O16" s="5"/>
      <c r="P16" s="5"/>
      <c r="Q16" s="5"/>
      <c r="R16" s="5"/>
    </row>
    <row r="17" spans="1:18" x14ac:dyDescent="0.3">
      <c r="A17" s="5"/>
      <c r="B17" s="5"/>
      <c r="C17" s="5"/>
      <c r="D17" s="5"/>
      <c r="E17" s="5"/>
      <c r="F17" s="5"/>
      <c r="G17" s="5"/>
      <c r="H17" s="5"/>
      <c r="I17" s="5"/>
      <c r="J17" s="5"/>
      <c r="K17" s="5"/>
      <c r="L17" s="5"/>
      <c r="M17" s="5"/>
      <c r="N17" s="5"/>
      <c r="O17" s="5"/>
      <c r="P17" s="5"/>
      <c r="Q17" s="5"/>
      <c r="R17" s="5"/>
    </row>
    <row r="18" spans="1:18" x14ac:dyDescent="0.3">
      <c r="A18" s="5"/>
      <c r="B18" s="5"/>
      <c r="C18" s="5"/>
      <c r="D18" s="5"/>
      <c r="E18" s="5"/>
      <c r="F18" s="5"/>
      <c r="G18" s="5"/>
      <c r="H18" s="5"/>
      <c r="I18" s="5"/>
      <c r="J18" s="5"/>
      <c r="K18" s="5"/>
      <c r="L18" s="5"/>
      <c r="M18" s="5"/>
      <c r="N18" s="5"/>
      <c r="O18" s="5"/>
      <c r="P18" s="5"/>
      <c r="Q18" s="5"/>
      <c r="R18" s="5"/>
    </row>
    <row r="19" spans="1:18" x14ac:dyDescent="0.3">
      <c r="A19" s="5"/>
      <c r="B19" s="5"/>
      <c r="C19" s="5"/>
      <c r="D19" s="5"/>
      <c r="E19" s="5"/>
      <c r="F19" s="5"/>
      <c r="G19" s="5"/>
      <c r="H19" s="5"/>
      <c r="I19" s="5"/>
      <c r="J19" s="5"/>
      <c r="K19" s="5"/>
      <c r="L19" s="5"/>
      <c r="M19" s="5"/>
      <c r="N19" s="5"/>
      <c r="O19" s="5"/>
      <c r="P19" s="5"/>
      <c r="Q19" s="5"/>
      <c r="R19" s="5"/>
    </row>
    <row r="20" spans="1:18" x14ac:dyDescent="0.3">
      <c r="A20" s="5"/>
      <c r="B20" s="5"/>
      <c r="C20" s="5"/>
      <c r="D20" s="5"/>
      <c r="E20" s="5"/>
      <c r="F20" s="5"/>
      <c r="G20" s="5"/>
      <c r="H20" s="5"/>
      <c r="I20" s="5"/>
      <c r="J20" s="5"/>
      <c r="K20" s="5"/>
      <c r="L20" s="5"/>
      <c r="M20" s="5"/>
      <c r="N20" s="5"/>
      <c r="O20" s="5"/>
      <c r="P20" s="5"/>
      <c r="Q20" s="5"/>
      <c r="R20" s="5"/>
    </row>
    <row r="21" spans="1:18" x14ac:dyDescent="0.3">
      <c r="A21" s="5"/>
      <c r="B21" s="5"/>
      <c r="C21" s="5"/>
      <c r="D21" s="5"/>
      <c r="E21" s="5"/>
      <c r="F21" s="5"/>
      <c r="G21" s="5"/>
      <c r="H21" s="5"/>
      <c r="I21" s="5"/>
      <c r="J21" s="5"/>
      <c r="K21" s="5"/>
      <c r="L21" s="5"/>
      <c r="M21" s="5"/>
      <c r="N21" s="5"/>
      <c r="O21" s="5"/>
      <c r="P21" s="5"/>
      <c r="Q21" s="5"/>
      <c r="R21" s="5"/>
    </row>
    <row r="22" spans="1:18" x14ac:dyDescent="0.3">
      <c r="A22" s="5"/>
      <c r="B22" s="5"/>
      <c r="C22" s="5"/>
      <c r="D22" s="5"/>
      <c r="E22" s="5"/>
      <c r="F22" s="5"/>
      <c r="G22" s="5"/>
      <c r="H22" s="5"/>
      <c r="I22" s="5"/>
      <c r="J22" s="5"/>
      <c r="K22" s="5"/>
      <c r="L22" s="5"/>
      <c r="M22" s="5"/>
      <c r="N22" s="5"/>
      <c r="O22" s="5"/>
      <c r="P22" s="5"/>
      <c r="Q22" s="5"/>
      <c r="R22" s="5"/>
    </row>
    <row r="23" spans="1:18" x14ac:dyDescent="0.3">
      <c r="A23" s="5"/>
      <c r="B23" s="5"/>
      <c r="C23" s="5"/>
      <c r="D23" s="5"/>
      <c r="E23" s="5"/>
      <c r="F23" s="5"/>
      <c r="G23" s="5"/>
      <c r="H23" s="5"/>
      <c r="I23" s="5"/>
      <c r="J23" s="5"/>
      <c r="K23" s="5"/>
      <c r="L23" s="5"/>
      <c r="M23" s="5"/>
      <c r="N23" s="5"/>
      <c r="O23" s="5"/>
      <c r="P23" s="5"/>
      <c r="Q23" s="5"/>
      <c r="R23" s="5"/>
    </row>
    <row r="24" spans="1:18" x14ac:dyDescent="0.3">
      <c r="A24" s="5"/>
      <c r="B24" s="5"/>
      <c r="C24" s="5"/>
      <c r="D24" s="5"/>
      <c r="E24" s="5"/>
      <c r="F24" s="5"/>
      <c r="G24" s="5"/>
      <c r="H24" s="5"/>
      <c r="I24" s="5"/>
      <c r="J24" s="5"/>
      <c r="K24" s="5"/>
      <c r="L24" s="5"/>
      <c r="M24" s="5"/>
      <c r="N24" s="5"/>
      <c r="O24" s="5"/>
      <c r="P24" s="5"/>
      <c r="Q24" s="5"/>
      <c r="R24" s="5"/>
    </row>
    <row r="25" spans="1:18" x14ac:dyDescent="0.3">
      <c r="A25" s="5"/>
      <c r="B25" s="5"/>
      <c r="C25" s="5"/>
      <c r="D25" s="5"/>
      <c r="E25" s="5"/>
      <c r="F25" s="5"/>
      <c r="G25" s="5"/>
      <c r="H25" s="5"/>
      <c r="I25" s="5"/>
      <c r="J25" s="5"/>
      <c r="K25" s="5"/>
      <c r="L25" s="5"/>
      <c r="M25" s="5"/>
      <c r="N25" s="5"/>
      <c r="O25" s="5"/>
      <c r="P25" s="5"/>
      <c r="Q25" s="5"/>
      <c r="R25" s="5"/>
    </row>
    <row r="26" spans="1:18" x14ac:dyDescent="0.3">
      <c r="A26" s="5"/>
      <c r="B26" s="5"/>
      <c r="C26" s="5"/>
      <c r="D26" s="5"/>
      <c r="E26" s="5"/>
      <c r="F26" s="5"/>
      <c r="G26" s="5"/>
      <c r="H26" s="5"/>
      <c r="I26" s="5"/>
      <c r="J26" s="5"/>
      <c r="K26" s="5"/>
      <c r="L26" s="5"/>
      <c r="M26" s="5"/>
      <c r="N26" s="5"/>
      <c r="O26" s="5"/>
      <c r="P26" s="5"/>
      <c r="Q26" s="5"/>
      <c r="R26" s="5"/>
    </row>
    <row r="27" spans="1:18" x14ac:dyDescent="0.3">
      <c r="A27" s="5"/>
      <c r="B27" s="5"/>
      <c r="C27" s="5"/>
      <c r="D27" s="5"/>
      <c r="E27" s="5"/>
      <c r="F27" s="5"/>
      <c r="G27" s="5"/>
      <c r="H27" s="5"/>
      <c r="I27" s="5"/>
      <c r="J27" s="5"/>
      <c r="K27" s="5"/>
      <c r="L27" s="5"/>
      <c r="M27" s="5"/>
      <c r="N27" s="5"/>
      <c r="O27" s="5"/>
      <c r="P27" s="5"/>
      <c r="Q27" s="5"/>
      <c r="R27" s="5"/>
    </row>
    <row r="28" spans="1:18" x14ac:dyDescent="0.3">
      <c r="A28" s="5"/>
      <c r="B28" s="5"/>
      <c r="C28" s="5"/>
      <c r="D28" s="5"/>
      <c r="E28" s="5"/>
      <c r="F28" s="5"/>
      <c r="G28" s="5"/>
      <c r="H28" s="5"/>
      <c r="I28" s="5"/>
      <c r="J28" s="5"/>
      <c r="K28" s="5"/>
      <c r="L28" s="5"/>
      <c r="M28" s="5"/>
      <c r="N28" s="5"/>
      <c r="O28" s="5"/>
      <c r="P28" s="5"/>
      <c r="Q28" s="5"/>
      <c r="R28" s="5"/>
    </row>
    <row r="29" spans="1:18" x14ac:dyDescent="0.3">
      <c r="A29" s="5"/>
      <c r="B29" s="5"/>
      <c r="C29" s="5"/>
      <c r="D29" s="5"/>
      <c r="E29" s="5"/>
      <c r="F29" s="5"/>
      <c r="G29" s="5"/>
      <c r="H29" s="5"/>
      <c r="I29" s="5"/>
      <c r="J29" s="5"/>
      <c r="K29" s="5"/>
      <c r="L29" s="5"/>
      <c r="M29" s="5"/>
      <c r="N29" s="5"/>
      <c r="O29" s="5"/>
      <c r="P29" s="5"/>
      <c r="Q29" s="5"/>
      <c r="R29"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C798F-3810-4149-B6CE-C03AF22E7336}">
  <dimension ref="A1:R28"/>
  <sheetViews>
    <sheetView workbookViewId="0"/>
  </sheetViews>
  <sheetFormatPr defaultRowHeight="14.4" x14ac:dyDescent="0.3"/>
  <sheetData>
    <row r="1" spans="1:18" x14ac:dyDescent="0.3">
      <c r="A1" s="5"/>
      <c r="B1" s="5"/>
      <c r="C1" s="5"/>
      <c r="D1" s="5"/>
      <c r="E1" s="5"/>
      <c r="F1" s="5"/>
      <c r="G1" s="5"/>
      <c r="H1" s="5"/>
      <c r="I1" s="5"/>
      <c r="J1" s="5"/>
      <c r="K1" s="5"/>
      <c r="L1" s="5"/>
      <c r="M1" s="5"/>
      <c r="N1" s="5"/>
      <c r="O1" s="5"/>
      <c r="P1" s="5"/>
      <c r="Q1" s="5"/>
      <c r="R1" s="5"/>
    </row>
    <row r="2" spans="1:18" x14ac:dyDescent="0.3">
      <c r="A2" s="5"/>
      <c r="B2" s="5"/>
      <c r="C2" s="5"/>
      <c r="D2" s="5"/>
      <c r="E2" s="5"/>
      <c r="F2" s="5"/>
      <c r="G2" s="5"/>
      <c r="H2" s="5"/>
      <c r="I2" s="5"/>
      <c r="J2" s="5"/>
      <c r="K2" s="5"/>
      <c r="L2" s="5"/>
      <c r="M2" s="5"/>
      <c r="N2" s="5"/>
      <c r="O2" s="5"/>
      <c r="P2" s="5"/>
      <c r="Q2" s="5"/>
      <c r="R2" s="5"/>
    </row>
    <row r="3" spans="1:18" x14ac:dyDescent="0.3">
      <c r="A3" s="5"/>
      <c r="B3" s="5"/>
      <c r="C3" s="5"/>
      <c r="D3" s="5"/>
      <c r="E3" s="5"/>
      <c r="F3" s="5"/>
      <c r="G3" s="5"/>
      <c r="H3" s="5"/>
      <c r="I3" s="5"/>
      <c r="J3" s="5"/>
      <c r="K3" s="5"/>
      <c r="L3" s="5"/>
      <c r="M3" s="5"/>
      <c r="N3" s="5"/>
      <c r="O3" s="5"/>
      <c r="P3" s="5"/>
      <c r="Q3" s="5"/>
      <c r="R3" s="5"/>
    </row>
    <row r="4" spans="1:18" x14ac:dyDescent="0.3">
      <c r="A4" s="5"/>
      <c r="B4" s="5"/>
      <c r="C4" s="5"/>
      <c r="D4" s="5"/>
      <c r="E4" s="5"/>
      <c r="F4" s="5"/>
      <c r="G4" s="5"/>
      <c r="H4" s="5"/>
      <c r="I4" s="5"/>
      <c r="J4" s="5"/>
      <c r="K4" s="5"/>
      <c r="L4" s="5"/>
      <c r="M4" s="5"/>
      <c r="N4" s="5"/>
      <c r="O4" s="5"/>
      <c r="P4" s="5"/>
      <c r="Q4" s="5"/>
      <c r="R4" s="5"/>
    </row>
    <row r="5" spans="1:18" x14ac:dyDescent="0.3">
      <c r="A5" s="5"/>
      <c r="B5" s="5"/>
      <c r="C5" s="5"/>
      <c r="D5" s="5"/>
      <c r="E5" s="5"/>
      <c r="F5" s="5"/>
      <c r="G5" s="5"/>
      <c r="H5" s="5"/>
      <c r="I5" s="5"/>
      <c r="J5" s="5"/>
      <c r="K5" s="5"/>
      <c r="L5" s="5"/>
      <c r="M5" s="5"/>
      <c r="N5" s="5"/>
      <c r="O5" s="5"/>
      <c r="P5" s="5"/>
      <c r="Q5" s="5"/>
      <c r="R5" s="5"/>
    </row>
    <row r="6" spans="1:18" x14ac:dyDescent="0.3">
      <c r="A6" s="5"/>
      <c r="B6" s="5"/>
      <c r="C6" s="5"/>
      <c r="D6" s="5"/>
      <c r="E6" s="5"/>
      <c r="F6" s="5"/>
      <c r="G6" s="5"/>
      <c r="H6" s="5"/>
      <c r="I6" s="5"/>
      <c r="J6" s="5"/>
      <c r="K6" s="5"/>
      <c r="L6" s="5"/>
      <c r="M6" s="5"/>
      <c r="N6" s="5"/>
      <c r="O6" s="5"/>
      <c r="P6" s="5"/>
      <c r="Q6" s="5"/>
      <c r="R6" s="5"/>
    </row>
    <row r="7" spans="1:18" x14ac:dyDescent="0.3">
      <c r="A7" s="5"/>
      <c r="B7" s="5"/>
      <c r="C7" s="5"/>
      <c r="D7" s="5"/>
      <c r="E7" s="5"/>
      <c r="F7" s="5"/>
      <c r="G7" s="5"/>
      <c r="H7" s="5"/>
      <c r="I7" s="5"/>
      <c r="J7" s="5"/>
      <c r="K7" s="5"/>
      <c r="L7" s="5"/>
      <c r="M7" s="5"/>
      <c r="N7" s="5"/>
      <c r="O7" s="5"/>
      <c r="P7" s="5"/>
      <c r="Q7" s="5"/>
      <c r="R7" s="5"/>
    </row>
    <row r="8" spans="1:18" x14ac:dyDescent="0.3">
      <c r="A8" s="5"/>
      <c r="B8" s="5"/>
      <c r="C8" s="5"/>
      <c r="D8" s="5"/>
      <c r="E8" s="5"/>
      <c r="F8" s="5"/>
      <c r="G8" s="5"/>
      <c r="H8" s="5"/>
      <c r="I8" s="5"/>
      <c r="J8" s="5"/>
      <c r="K8" s="5"/>
      <c r="L8" s="5"/>
      <c r="M8" s="5"/>
      <c r="N8" s="5"/>
      <c r="O8" s="5"/>
      <c r="P8" s="5"/>
      <c r="Q8" s="5"/>
      <c r="R8" s="5"/>
    </row>
    <row r="9" spans="1:18" x14ac:dyDescent="0.3">
      <c r="A9" s="5"/>
      <c r="B9" s="5"/>
      <c r="C9" s="5"/>
      <c r="D9" s="5"/>
      <c r="E9" s="5"/>
      <c r="F9" s="5"/>
      <c r="G9" s="5"/>
      <c r="H9" s="5"/>
      <c r="I9" s="5"/>
      <c r="J9" s="5"/>
      <c r="K9" s="5"/>
      <c r="L9" s="5"/>
      <c r="M9" s="5"/>
      <c r="N9" s="5"/>
      <c r="O9" s="5"/>
      <c r="P9" s="5"/>
      <c r="Q9" s="5"/>
      <c r="R9" s="5"/>
    </row>
    <row r="10" spans="1:18" x14ac:dyDescent="0.3">
      <c r="A10" s="5"/>
      <c r="B10" s="5"/>
      <c r="C10" s="5"/>
      <c r="D10" s="5"/>
      <c r="E10" s="5"/>
      <c r="F10" s="5"/>
      <c r="G10" s="5"/>
      <c r="H10" s="5"/>
      <c r="I10" s="5"/>
      <c r="J10" s="5"/>
      <c r="K10" s="5"/>
      <c r="L10" s="5"/>
      <c r="M10" s="5"/>
      <c r="N10" s="5"/>
      <c r="O10" s="5"/>
      <c r="P10" s="5"/>
      <c r="Q10" s="5"/>
      <c r="R10" s="5"/>
    </row>
    <row r="11" spans="1:18" x14ac:dyDescent="0.3">
      <c r="A11" s="5"/>
      <c r="B11" s="5"/>
      <c r="C11" s="5"/>
      <c r="D11" s="5"/>
      <c r="E11" s="5"/>
      <c r="F11" s="5"/>
      <c r="G11" s="5"/>
      <c r="H11" s="5"/>
      <c r="I11" s="5"/>
      <c r="J11" s="5"/>
      <c r="K11" s="5"/>
      <c r="L11" s="5"/>
      <c r="M11" s="5"/>
      <c r="N11" s="5"/>
      <c r="O11" s="5"/>
      <c r="P11" s="5"/>
      <c r="Q11" s="5"/>
      <c r="R11" s="5"/>
    </row>
    <row r="12" spans="1:18" x14ac:dyDescent="0.3">
      <c r="A12" s="5"/>
      <c r="B12" s="5"/>
      <c r="C12" s="5"/>
      <c r="D12" s="5"/>
      <c r="E12" s="5"/>
      <c r="F12" s="5"/>
      <c r="G12" s="5"/>
      <c r="H12" s="5"/>
      <c r="I12" s="5"/>
      <c r="J12" s="5"/>
      <c r="K12" s="5"/>
      <c r="L12" s="5"/>
      <c r="M12" s="5"/>
      <c r="N12" s="5"/>
      <c r="O12" s="5"/>
      <c r="P12" s="5"/>
      <c r="Q12" s="5"/>
      <c r="R12" s="5"/>
    </row>
    <row r="13" spans="1:18" x14ac:dyDescent="0.3">
      <c r="A13" s="5"/>
      <c r="B13" s="5"/>
      <c r="C13" s="5"/>
      <c r="D13" s="5"/>
      <c r="E13" s="5"/>
      <c r="F13" s="5"/>
      <c r="G13" s="5"/>
      <c r="H13" s="5"/>
      <c r="I13" s="5"/>
      <c r="J13" s="5"/>
      <c r="K13" s="5"/>
      <c r="L13" s="5"/>
      <c r="M13" s="5"/>
      <c r="N13" s="5"/>
      <c r="O13" s="5"/>
      <c r="P13" s="5"/>
      <c r="Q13" s="5"/>
      <c r="R13" s="5"/>
    </row>
    <row r="14" spans="1:18" x14ac:dyDescent="0.3">
      <c r="A14" s="5"/>
      <c r="B14" s="5"/>
      <c r="C14" s="5"/>
      <c r="D14" s="5"/>
      <c r="E14" s="5"/>
      <c r="F14" s="5"/>
      <c r="G14" s="5"/>
      <c r="H14" s="5"/>
      <c r="I14" s="5"/>
      <c r="J14" s="5"/>
      <c r="K14" s="5"/>
      <c r="L14" s="5"/>
      <c r="M14" s="5"/>
      <c r="N14" s="5"/>
      <c r="O14" s="5"/>
      <c r="P14" s="5"/>
      <c r="Q14" s="5"/>
      <c r="R14" s="5"/>
    </row>
    <row r="15" spans="1:18" x14ac:dyDescent="0.3">
      <c r="A15" s="5"/>
      <c r="B15" s="5"/>
      <c r="C15" s="5"/>
      <c r="D15" s="5"/>
      <c r="E15" s="5"/>
      <c r="F15" s="5"/>
      <c r="G15" s="5"/>
      <c r="H15" s="5"/>
      <c r="I15" s="5"/>
      <c r="J15" s="5"/>
      <c r="K15" s="5"/>
      <c r="L15" s="5"/>
      <c r="M15" s="5"/>
      <c r="N15" s="5"/>
      <c r="O15" s="5"/>
      <c r="P15" s="5"/>
      <c r="Q15" s="5"/>
      <c r="R15" s="5"/>
    </row>
    <row r="16" spans="1:18" x14ac:dyDescent="0.3">
      <c r="A16" s="5"/>
      <c r="B16" s="5"/>
      <c r="C16" s="5"/>
      <c r="D16" s="5"/>
      <c r="E16" s="5"/>
      <c r="F16" s="5"/>
      <c r="G16" s="5"/>
      <c r="H16" s="5"/>
      <c r="I16" s="5"/>
      <c r="J16" s="5"/>
      <c r="K16" s="5"/>
      <c r="L16" s="5"/>
      <c r="M16" s="5"/>
      <c r="N16" s="5"/>
      <c r="O16" s="5"/>
      <c r="P16" s="5"/>
      <c r="Q16" s="5"/>
      <c r="R16" s="5"/>
    </row>
    <row r="17" spans="1:18" x14ac:dyDescent="0.3">
      <c r="A17" s="5"/>
      <c r="B17" s="5"/>
      <c r="C17" s="5"/>
      <c r="D17" s="5"/>
      <c r="E17" s="5"/>
      <c r="F17" s="5"/>
      <c r="G17" s="5"/>
      <c r="H17" s="5"/>
      <c r="I17" s="5"/>
      <c r="J17" s="5"/>
      <c r="K17" s="5"/>
      <c r="L17" s="5"/>
      <c r="M17" s="5"/>
      <c r="N17" s="5"/>
      <c r="O17" s="5"/>
      <c r="P17" s="5"/>
      <c r="Q17" s="5"/>
      <c r="R17" s="5"/>
    </row>
    <row r="18" spans="1:18" x14ac:dyDescent="0.3">
      <c r="A18" s="5"/>
      <c r="B18" s="5"/>
      <c r="C18" s="5"/>
      <c r="D18" s="5"/>
      <c r="E18" s="5"/>
      <c r="F18" s="5"/>
      <c r="G18" s="5"/>
      <c r="H18" s="5"/>
      <c r="I18" s="5"/>
      <c r="J18" s="6"/>
      <c r="K18" s="5"/>
      <c r="L18" s="5"/>
      <c r="M18" s="5"/>
      <c r="N18" s="5"/>
      <c r="O18" s="5"/>
      <c r="P18" s="5"/>
      <c r="Q18" s="5"/>
      <c r="R18" s="5"/>
    </row>
    <row r="19" spans="1:18" x14ac:dyDescent="0.3">
      <c r="A19" s="5"/>
      <c r="B19" s="5"/>
      <c r="C19" s="5"/>
      <c r="D19" s="5"/>
      <c r="E19" s="5"/>
      <c r="F19" s="5"/>
      <c r="G19" s="5"/>
      <c r="H19" s="5"/>
      <c r="I19" s="5"/>
      <c r="J19" s="5"/>
      <c r="K19" s="5"/>
      <c r="L19" s="5"/>
      <c r="M19" s="5"/>
      <c r="N19" s="5"/>
      <c r="O19" s="5"/>
      <c r="P19" s="5"/>
      <c r="Q19" s="5"/>
      <c r="R19" s="5"/>
    </row>
    <row r="20" spans="1:18" x14ac:dyDescent="0.3">
      <c r="A20" s="5"/>
      <c r="B20" s="5"/>
      <c r="C20" s="5"/>
      <c r="D20" s="5"/>
      <c r="E20" s="5"/>
      <c r="F20" s="5"/>
      <c r="G20" s="5"/>
      <c r="H20" s="5"/>
      <c r="I20" s="5"/>
      <c r="J20" s="5"/>
      <c r="K20" s="5"/>
      <c r="L20" s="5"/>
      <c r="M20" s="5"/>
      <c r="N20" s="5"/>
      <c r="O20" s="5"/>
      <c r="P20" s="5"/>
      <c r="Q20" s="5"/>
      <c r="R20" s="5"/>
    </row>
    <row r="21" spans="1:18" x14ac:dyDescent="0.3">
      <c r="A21" s="5"/>
      <c r="B21" s="5"/>
      <c r="C21" s="5"/>
      <c r="D21" s="5"/>
      <c r="E21" s="5"/>
      <c r="F21" s="5"/>
      <c r="G21" s="5"/>
      <c r="H21" s="5"/>
      <c r="I21" s="5"/>
      <c r="J21" s="5"/>
      <c r="K21" s="5"/>
      <c r="L21" s="5"/>
      <c r="M21" s="5"/>
      <c r="N21" s="5"/>
      <c r="O21" s="5"/>
      <c r="P21" s="5"/>
      <c r="Q21" s="5"/>
      <c r="R21" s="5"/>
    </row>
    <row r="22" spans="1:18" x14ac:dyDescent="0.3">
      <c r="A22" s="5"/>
      <c r="B22" s="5"/>
      <c r="C22" s="5"/>
      <c r="D22" s="5"/>
      <c r="E22" s="5"/>
      <c r="F22" s="5"/>
      <c r="G22" s="5"/>
      <c r="H22" s="5"/>
      <c r="I22" s="5"/>
      <c r="J22" s="5"/>
      <c r="K22" s="5"/>
      <c r="L22" s="5"/>
      <c r="M22" s="5"/>
      <c r="N22" s="5"/>
      <c r="O22" s="5"/>
      <c r="P22" s="5"/>
      <c r="Q22" s="5"/>
      <c r="R22" s="5"/>
    </row>
    <row r="23" spans="1:18" x14ac:dyDescent="0.3">
      <c r="A23" s="5"/>
      <c r="B23" s="5"/>
      <c r="C23" s="5"/>
      <c r="D23" s="5"/>
      <c r="E23" s="5"/>
      <c r="F23" s="5"/>
      <c r="G23" s="5"/>
      <c r="H23" s="5"/>
      <c r="I23" s="5"/>
      <c r="J23" s="5"/>
      <c r="K23" s="5"/>
      <c r="L23" s="5"/>
      <c r="M23" s="5"/>
      <c r="N23" s="5"/>
      <c r="O23" s="5"/>
      <c r="P23" s="5"/>
      <c r="Q23" s="5"/>
      <c r="R23" s="5"/>
    </row>
    <row r="24" spans="1:18" x14ac:dyDescent="0.3">
      <c r="A24" s="5"/>
      <c r="B24" s="5"/>
      <c r="C24" s="5"/>
      <c r="D24" s="5"/>
      <c r="E24" s="5"/>
      <c r="F24" s="5"/>
      <c r="G24" s="5"/>
      <c r="H24" s="5"/>
      <c r="I24" s="5"/>
      <c r="J24" s="5"/>
      <c r="K24" s="5"/>
      <c r="L24" s="5"/>
      <c r="M24" s="5"/>
      <c r="N24" s="5"/>
      <c r="O24" s="5"/>
      <c r="P24" s="5"/>
      <c r="Q24" s="5"/>
      <c r="R24" s="5"/>
    </row>
    <row r="25" spans="1:18" x14ac:dyDescent="0.3">
      <c r="A25" s="5"/>
      <c r="B25" s="5"/>
      <c r="C25" s="5"/>
      <c r="D25" s="5"/>
      <c r="E25" s="5"/>
      <c r="F25" s="5"/>
      <c r="G25" s="5"/>
      <c r="H25" s="5"/>
      <c r="I25" s="5"/>
      <c r="J25" s="5"/>
      <c r="K25" s="5"/>
      <c r="L25" s="5"/>
      <c r="M25" s="5"/>
      <c r="N25" s="5"/>
      <c r="O25" s="5"/>
      <c r="P25" s="5"/>
      <c r="Q25" s="5"/>
      <c r="R25" s="5"/>
    </row>
    <row r="26" spans="1:18" x14ac:dyDescent="0.3">
      <c r="A26" s="5"/>
      <c r="B26" s="5"/>
      <c r="C26" s="5"/>
      <c r="D26" s="5"/>
      <c r="E26" s="5"/>
      <c r="F26" s="5"/>
      <c r="G26" s="5"/>
      <c r="H26" s="5"/>
      <c r="I26" s="5"/>
      <c r="J26" s="5"/>
      <c r="K26" s="5"/>
      <c r="L26" s="5"/>
      <c r="M26" s="5"/>
      <c r="N26" s="5"/>
      <c r="O26" s="5"/>
      <c r="P26" s="5"/>
      <c r="Q26" s="5"/>
      <c r="R26" s="5"/>
    </row>
    <row r="27" spans="1:18" x14ac:dyDescent="0.3">
      <c r="A27" s="5"/>
      <c r="B27" s="5"/>
      <c r="C27" s="5"/>
      <c r="D27" s="5"/>
      <c r="E27" s="5"/>
      <c r="F27" s="5"/>
      <c r="G27" s="5"/>
      <c r="H27" s="5"/>
      <c r="I27" s="5"/>
      <c r="J27" s="5"/>
      <c r="K27" s="5"/>
      <c r="L27" s="5"/>
      <c r="M27" s="5"/>
      <c r="N27" s="5"/>
      <c r="O27" s="5"/>
      <c r="P27" s="5"/>
      <c r="Q27" s="5"/>
      <c r="R27" s="5"/>
    </row>
    <row r="28" spans="1:18" x14ac:dyDescent="0.3">
      <c r="A28" s="5"/>
      <c r="B28" s="5"/>
      <c r="C28" s="5"/>
      <c r="D28" s="5"/>
      <c r="E28" s="5"/>
      <c r="F28" s="5"/>
      <c r="G28" s="5"/>
      <c r="H28" s="5"/>
      <c r="I28" s="5"/>
      <c r="J28" s="5"/>
      <c r="K28" s="5"/>
      <c r="L28" s="5"/>
      <c r="M28" s="5"/>
      <c r="N28" s="5"/>
      <c r="O28" s="5"/>
      <c r="P28" s="5"/>
      <c r="Q28"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2ABA8-BA90-497D-B9A8-8593EA107C9C}">
  <dimension ref="A1:R28"/>
  <sheetViews>
    <sheetView workbookViewId="0"/>
  </sheetViews>
  <sheetFormatPr defaultRowHeight="14.4" x14ac:dyDescent="0.3"/>
  <sheetData>
    <row r="1" spans="1:18" x14ac:dyDescent="0.3">
      <c r="A1" s="5"/>
      <c r="B1" s="5"/>
      <c r="C1" s="5"/>
      <c r="D1" s="5"/>
      <c r="E1" s="5"/>
      <c r="F1" s="5"/>
      <c r="G1" s="5"/>
      <c r="H1" s="5"/>
      <c r="I1" s="5"/>
      <c r="J1" s="5"/>
      <c r="K1" s="5"/>
      <c r="L1" s="5"/>
      <c r="M1" s="5"/>
      <c r="N1" s="5"/>
      <c r="O1" s="5"/>
      <c r="P1" s="5"/>
      <c r="Q1" s="5"/>
      <c r="R1" s="5"/>
    </row>
    <row r="2" spans="1:18" x14ac:dyDescent="0.3">
      <c r="A2" s="5"/>
      <c r="B2" s="5"/>
      <c r="C2" s="5"/>
      <c r="D2" s="5"/>
      <c r="E2" s="5"/>
      <c r="F2" s="5"/>
      <c r="G2" s="5"/>
      <c r="H2" s="5"/>
      <c r="I2" s="5"/>
      <c r="J2" s="5"/>
      <c r="K2" s="5"/>
      <c r="L2" s="5"/>
      <c r="M2" s="5"/>
      <c r="N2" s="5"/>
      <c r="O2" s="5"/>
      <c r="P2" s="5"/>
      <c r="Q2" s="5"/>
      <c r="R2" s="5"/>
    </row>
    <row r="3" spans="1:18" x14ac:dyDescent="0.3">
      <c r="A3" s="5"/>
      <c r="B3" s="5"/>
      <c r="C3" s="5"/>
      <c r="D3" s="5"/>
      <c r="E3" s="5"/>
      <c r="F3" s="5"/>
      <c r="G3" s="5"/>
      <c r="H3" s="5"/>
      <c r="I3" s="5"/>
      <c r="J3" s="5"/>
      <c r="K3" s="5"/>
      <c r="L3" s="5"/>
      <c r="M3" s="5"/>
      <c r="N3" s="5"/>
      <c r="O3" s="5"/>
      <c r="P3" s="5"/>
      <c r="Q3" s="5"/>
      <c r="R3" s="5"/>
    </row>
    <row r="4" spans="1:18" x14ac:dyDescent="0.3">
      <c r="A4" s="5"/>
      <c r="B4" s="5"/>
      <c r="C4" s="5"/>
      <c r="D4" s="5"/>
      <c r="E4" s="5"/>
      <c r="F4" s="5"/>
      <c r="G4" s="5"/>
      <c r="H4" s="5"/>
      <c r="I4" s="5"/>
      <c r="J4" s="5"/>
      <c r="K4" s="5"/>
      <c r="L4" s="5"/>
      <c r="M4" s="5"/>
      <c r="N4" s="5"/>
      <c r="O4" s="5"/>
      <c r="P4" s="5"/>
      <c r="Q4" s="5"/>
      <c r="R4" s="5"/>
    </row>
    <row r="5" spans="1:18" x14ac:dyDescent="0.3">
      <c r="A5" s="5"/>
      <c r="B5" s="5"/>
      <c r="C5" s="5"/>
      <c r="D5" s="5"/>
      <c r="E5" s="5"/>
      <c r="F5" s="5"/>
      <c r="G5" s="5"/>
      <c r="H5" s="5"/>
      <c r="I5" s="5"/>
      <c r="J5" s="5"/>
      <c r="K5" s="5"/>
      <c r="L5" s="5"/>
      <c r="M5" s="5"/>
      <c r="N5" s="5"/>
      <c r="O5" s="5"/>
      <c r="P5" s="5"/>
      <c r="Q5" s="5"/>
      <c r="R5" s="5"/>
    </row>
    <row r="6" spans="1:18" x14ac:dyDescent="0.3">
      <c r="A6" s="5"/>
      <c r="B6" s="5"/>
      <c r="C6" s="5"/>
      <c r="D6" s="5"/>
      <c r="E6" s="5"/>
      <c r="F6" s="5"/>
      <c r="G6" s="5"/>
      <c r="H6" s="5"/>
      <c r="I6" s="5"/>
      <c r="J6" s="5"/>
      <c r="K6" s="5"/>
      <c r="L6" s="5"/>
      <c r="M6" s="5"/>
      <c r="N6" s="5"/>
      <c r="O6" s="5"/>
      <c r="P6" s="5"/>
      <c r="Q6" s="5"/>
      <c r="R6" s="5"/>
    </row>
    <row r="7" spans="1:18" x14ac:dyDescent="0.3">
      <c r="A7" s="5"/>
      <c r="B7" s="5"/>
      <c r="C7" s="5"/>
      <c r="D7" s="5"/>
      <c r="E7" s="5"/>
      <c r="F7" s="5"/>
      <c r="G7" s="5"/>
      <c r="H7" s="5"/>
      <c r="I7" s="5"/>
      <c r="J7" s="5"/>
      <c r="K7" s="5"/>
      <c r="L7" s="5"/>
      <c r="M7" s="5"/>
      <c r="N7" s="5"/>
      <c r="O7" s="5"/>
      <c r="P7" s="5"/>
      <c r="Q7" s="5"/>
      <c r="R7" s="5"/>
    </row>
    <row r="8" spans="1:18" x14ac:dyDescent="0.3">
      <c r="A8" s="5"/>
      <c r="B8" s="5"/>
      <c r="C8" s="5"/>
      <c r="D8" s="5"/>
      <c r="E8" s="5"/>
      <c r="F8" s="5"/>
      <c r="G8" s="5"/>
      <c r="H8" s="5"/>
      <c r="I8" s="5"/>
      <c r="J8" s="5"/>
      <c r="K8" s="5"/>
      <c r="L8" s="5"/>
      <c r="M8" s="5"/>
      <c r="N8" s="5"/>
      <c r="O8" s="5"/>
      <c r="P8" s="5"/>
      <c r="Q8" s="5"/>
      <c r="R8" s="5"/>
    </row>
    <row r="9" spans="1:18" x14ac:dyDescent="0.3">
      <c r="A9" s="5"/>
      <c r="B9" s="5"/>
      <c r="C9" s="5"/>
      <c r="D9" s="5"/>
      <c r="E9" s="5"/>
      <c r="F9" s="5"/>
      <c r="G9" s="5"/>
      <c r="H9" s="5"/>
      <c r="I9" s="5"/>
      <c r="J9" s="5"/>
      <c r="K9" s="5"/>
      <c r="L9" s="5"/>
      <c r="M9" s="5"/>
      <c r="N9" s="5"/>
      <c r="O9" s="5"/>
      <c r="P9" s="5"/>
      <c r="Q9" s="5"/>
      <c r="R9" s="5"/>
    </row>
    <row r="10" spans="1:18" x14ac:dyDescent="0.3">
      <c r="A10" s="5"/>
      <c r="B10" s="5"/>
      <c r="C10" s="5"/>
      <c r="D10" s="5"/>
      <c r="E10" s="5"/>
      <c r="F10" s="5"/>
      <c r="G10" s="5"/>
      <c r="H10" s="5"/>
      <c r="I10" s="5"/>
      <c r="J10" s="5"/>
      <c r="K10" s="5"/>
      <c r="L10" s="5"/>
      <c r="M10" s="5"/>
      <c r="N10" s="5"/>
      <c r="O10" s="5"/>
      <c r="P10" s="5"/>
      <c r="Q10" s="5"/>
      <c r="R10" s="5"/>
    </row>
    <row r="11" spans="1:18" x14ac:dyDescent="0.3">
      <c r="A11" s="5"/>
      <c r="B11" s="5"/>
      <c r="C11" s="5"/>
      <c r="D11" s="5"/>
      <c r="E11" s="5"/>
      <c r="F11" s="5"/>
      <c r="G11" s="5"/>
      <c r="H11" s="5"/>
      <c r="I11" s="5"/>
      <c r="J11" s="5"/>
      <c r="K11" s="5"/>
      <c r="L11" s="5"/>
      <c r="M11" s="5"/>
      <c r="N11" s="5"/>
      <c r="O11" s="5"/>
      <c r="P11" s="5"/>
      <c r="Q11" s="5"/>
      <c r="R11" s="5"/>
    </row>
    <row r="12" spans="1:18" x14ac:dyDescent="0.3">
      <c r="A12" s="5"/>
      <c r="B12" s="5"/>
      <c r="C12" s="5"/>
      <c r="D12" s="5"/>
      <c r="E12" s="5"/>
      <c r="F12" s="5"/>
      <c r="G12" s="5"/>
      <c r="H12" s="5"/>
      <c r="I12" s="5"/>
      <c r="J12" s="5"/>
      <c r="K12" s="5"/>
      <c r="L12" s="5"/>
      <c r="M12" s="5"/>
      <c r="N12" s="5"/>
      <c r="O12" s="5"/>
      <c r="P12" s="5"/>
      <c r="Q12" s="5"/>
      <c r="R12" s="5"/>
    </row>
    <row r="13" spans="1:18" x14ac:dyDescent="0.3">
      <c r="A13" s="5"/>
      <c r="B13" s="5"/>
      <c r="C13" s="5"/>
      <c r="D13" s="5"/>
      <c r="E13" s="5"/>
      <c r="F13" s="5"/>
      <c r="G13" s="5"/>
      <c r="H13" s="5"/>
      <c r="I13" s="5"/>
      <c r="J13" s="5"/>
      <c r="K13" s="5"/>
      <c r="L13" s="5"/>
      <c r="M13" s="5"/>
      <c r="N13" s="5"/>
      <c r="O13" s="5"/>
      <c r="P13" s="5"/>
      <c r="Q13" s="5"/>
      <c r="R13" s="5"/>
    </row>
    <row r="14" spans="1:18" x14ac:dyDescent="0.3">
      <c r="A14" s="5"/>
      <c r="B14" s="5"/>
      <c r="C14" s="5"/>
      <c r="D14" s="5"/>
      <c r="E14" s="5"/>
      <c r="F14" s="5"/>
      <c r="G14" s="5"/>
      <c r="H14" s="5"/>
      <c r="I14" s="5"/>
      <c r="J14" s="5"/>
      <c r="K14" s="5"/>
      <c r="L14" s="5"/>
      <c r="M14" s="5"/>
      <c r="N14" s="5"/>
      <c r="O14" s="5"/>
      <c r="P14" s="5"/>
      <c r="Q14" s="5"/>
      <c r="R14" s="5"/>
    </row>
    <row r="15" spans="1:18" x14ac:dyDescent="0.3">
      <c r="A15" s="5"/>
      <c r="B15" s="5"/>
      <c r="C15" s="5"/>
      <c r="D15" s="5"/>
      <c r="E15" s="5"/>
      <c r="F15" s="5"/>
      <c r="G15" s="5"/>
      <c r="H15" s="5"/>
      <c r="I15" s="5"/>
      <c r="J15" s="5"/>
      <c r="K15" s="5"/>
      <c r="L15" s="5"/>
      <c r="M15" s="5"/>
      <c r="N15" s="5"/>
      <c r="O15" s="5"/>
      <c r="P15" s="5"/>
      <c r="Q15" s="5"/>
      <c r="R15" s="5"/>
    </row>
    <row r="16" spans="1:18" x14ac:dyDescent="0.3">
      <c r="A16" s="5"/>
      <c r="B16" s="5"/>
      <c r="C16" s="5"/>
      <c r="D16" s="5"/>
      <c r="E16" s="5"/>
      <c r="F16" s="5"/>
      <c r="G16" s="5"/>
      <c r="H16" s="5"/>
      <c r="I16" s="5"/>
      <c r="J16" s="5"/>
      <c r="K16" s="5"/>
      <c r="L16" s="5"/>
      <c r="M16" s="5"/>
      <c r="N16" s="5"/>
      <c r="O16" s="5"/>
      <c r="P16" s="5"/>
      <c r="Q16" s="5"/>
      <c r="R16" s="5"/>
    </row>
    <row r="17" spans="1:18" x14ac:dyDescent="0.3">
      <c r="A17" s="5"/>
      <c r="B17" s="5"/>
      <c r="C17" s="5"/>
      <c r="D17" s="5"/>
      <c r="E17" s="5"/>
      <c r="F17" s="5"/>
      <c r="G17" s="5"/>
      <c r="H17" s="5"/>
      <c r="I17" s="5"/>
      <c r="J17" s="5"/>
      <c r="K17" s="5"/>
      <c r="L17" s="5"/>
      <c r="M17" s="5"/>
      <c r="N17" s="5"/>
      <c r="O17" s="5"/>
      <c r="P17" s="5"/>
      <c r="Q17" s="5"/>
      <c r="R17" s="5"/>
    </row>
    <row r="18" spans="1:18" x14ac:dyDescent="0.3">
      <c r="A18" s="5"/>
      <c r="B18" s="5"/>
      <c r="C18" s="5"/>
      <c r="D18" s="5"/>
      <c r="E18" s="5"/>
      <c r="F18" s="5"/>
      <c r="G18" s="5"/>
      <c r="H18" s="5"/>
      <c r="I18" s="5"/>
      <c r="J18" s="6"/>
      <c r="K18" s="5"/>
      <c r="L18" s="5"/>
      <c r="M18" s="5"/>
      <c r="N18" s="5"/>
      <c r="O18" s="5"/>
      <c r="P18" s="5"/>
      <c r="Q18" s="5"/>
      <c r="R18" s="5"/>
    </row>
    <row r="19" spans="1:18" x14ac:dyDescent="0.3">
      <c r="A19" s="5"/>
      <c r="B19" s="5"/>
      <c r="C19" s="5"/>
      <c r="D19" s="5"/>
      <c r="E19" s="5"/>
      <c r="F19" s="5"/>
      <c r="G19" s="5"/>
      <c r="H19" s="5"/>
      <c r="I19" s="5"/>
      <c r="J19" s="5"/>
      <c r="K19" s="5"/>
      <c r="L19" s="5"/>
      <c r="M19" s="5"/>
      <c r="N19" s="5"/>
      <c r="O19" s="5"/>
      <c r="P19" s="5"/>
      <c r="Q19" s="5"/>
      <c r="R19" s="5"/>
    </row>
    <row r="20" spans="1:18" x14ac:dyDescent="0.3">
      <c r="A20" s="5"/>
      <c r="B20" s="5"/>
      <c r="C20" s="5"/>
      <c r="D20" s="5"/>
      <c r="E20" s="5"/>
      <c r="F20" s="5"/>
      <c r="G20" s="5"/>
      <c r="H20" s="5"/>
      <c r="I20" s="5"/>
      <c r="J20" s="5"/>
      <c r="K20" s="5"/>
      <c r="L20" s="5"/>
      <c r="M20" s="5"/>
      <c r="N20" s="5"/>
      <c r="O20" s="5"/>
      <c r="P20" s="5"/>
      <c r="Q20" s="5"/>
      <c r="R20" s="5"/>
    </row>
    <row r="21" spans="1:18" x14ac:dyDescent="0.3">
      <c r="A21" s="5"/>
      <c r="B21" s="5"/>
      <c r="C21" s="5"/>
      <c r="D21" s="5"/>
      <c r="E21" s="5"/>
      <c r="F21" s="5"/>
      <c r="G21" s="5"/>
      <c r="H21" s="5"/>
      <c r="I21" s="5"/>
      <c r="J21" s="5"/>
      <c r="K21" s="5"/>
      <c r="L21" s="5"/>
      <c r="M21" s="5"/>
      <c r="N21" s="5"/>
      <c r="O21" s="5"/>
      <c r="P21" s="5"/>
      <c r="Q21" s="5"/>
      <c r="R21" s="5"/>
    </row>
    <row r="22" spans="1:18" x14ac:dyDescent="0.3">
      <c r="A22" s="5"/>
      <c r="B22" s="5"/>
      <c r="C22" s="5"/>
      <c r="D22" s="5"/>
      <c r="E22" s="5"/>
      <c r="F22" s="5"/>
      <c r="G22" s="5"/>
      <c r="H22" s="5"/>
      <c r="I22" s="5"/>
      <c r="J22" s="5"/>
      <c r="K22" s="5"/>
      <c r="L22" s="5"/>
      <c r="M22" s="5"/>
      <c r="N22" s="5"/>
      <c r="O22" s="5"/>
      <c r="P22" s="5"/>
      <c r="Q22" s="5"/>
      <c r="R22" s="5"/>
    </row>
    <row r="23" spans="1:18" x14ac:dyDescent="0.3">
      <c r="A23" s="5"/>
      <c r="B23" s="5"/>
      <c r="C23" s="5"/>
      <c r="D23" s="5"/>
      <c r="E23" s="5"/>
      <c r="F23" s="5"/>
      <c r="G23" s="5"/>
      <c r="H23" s="5"/>
      <c r="I23" s="5"/>
      <c r="J23" s="5"/>
      <c r="K23" s="5"/>
      <c r="L23" s="5"/>
      <c r="M23" s="5"/>
      <c r="N23" s="5"/>
      <c r="O23" s="5"/>
      <c r="P23" s="5"/>
      <c r="Q23" s="5"/>
      <c r="R23" s="5"/>
    </row>
    <row r="24" spans="1:18" x14ac:dyDescent="0.3">
      <c r="A24" s="5"/>
      <c r="B24" s="5"/>
      <c r="C24" s="5"/>
      <c r="D24" s="5"/>
      <c r="E24" s="5"/>
      <c r="F24" s="5"/>
      <c r="G24" s="5"/>
      <c r="H24" s="5"/>
      <c r="I24" s="5"/>
      <c r="J24" s="5"/>
      <c r="K24" s="5"/>
      <c r="L24" s="5"/>
      <c r="M24" s="5"/>
      <c r="N24" s="5"/>
      <c r="O24" s="5"/>
      <c r="P24" s="5"/>
      <c r="Q24" s="5"/>
      <c r="R24" s="5"/>
    </row>
    <row r="25" spans="1:18" x14ac:dyDescent="0.3">
      <c r="A25" s="5"/>
      <c r="B25" s="5"/>
      <c r="C25" s="5"/>
      <c r="D25" s="5"/>
      <c r="E25" s="5"/>
      <c r="F25" s="5"/>
      <c r="G25" s="5"/>
      <c r="H25" s="5"/>
      <c r="I25" s="5"/>
      <c r="J25" s="5"/>
      <c r="K25" s="5"/>
      <c r="L25" s="5"/>
      <c r="M25" s="5"/>
      <c r="N25" s="5"/>
      <c r="O25" s="5"/>
      <c r="P25" s="5"/>
      <c r="Q25" s="5"/>
      <c r="R25" s="5"/>
    </row>
    <row r="26" spans="1:18" x14ac:dyDescent="0.3">
      <c r="A26" s="5"/>
      <c r="B26" s="5"/>
      <c r="C26" s="5"/>
      <c r="D26" s="5"/>
      <c r="E26" s="5"/>
      <c r="F26" s="5"/>
      <c r="G26" s="5"/>
      <c r="H26" s="5"/>
      <c r="I26" s="5"/>
      <c r="J26" s="5"/>
      <c r="K26" s="5"/>
      <c r="L26" s="5"/>
      <c r="M26" s="5"/>
      <c r="N26" s="5"/>
      <c r="O26" s="5"/>
      <c r="P26" s="5"/>
      <c r="Q26" s="5"/>
      <c r="R26" s="5"/>
    </row>
    <row r="27" spans="1:18" x14ac:dyDescent="0.3">
      <c r="A27" s="5"/>
      <c r="B27" s="5"/>
      <c r="C27" s="5"/>
      <c r="D27" s="5"/>
      <c r="E27" s="5"/>
      <c r="F27" s="5"/>
      <c r="G27" s="5"/>
      <c r="H27" s="5"/>
      <c r="I27" s="5"/>
      <c r="J27" s="5"/>
      <c r="K27" s="5"/>
      <c r="L27" s="5"/>
      <c r="M27" s="5"/>
      <c r="N27" s="5"/>
      <c r="O27" s="5"/>
      <c r="P27" s="5"/>
      <c r="Q27" s="5"/>
      <c r="R27" s="5"/>
    </row>
    <row r="28" spans="1:18" x14ac:dyDescent="0.3">
      <c r="A28" s="5"/>
      <c r="B28" s="5"/>
      <c r="C28" s="5"/>
      <c r="D28" s="5"/>
      <c r="E28" s="5"/>
      <c r="F28" s="5"/>
      <c r="G28" s="5"/>
      <c r="H28" s="5"/>
      <c r="I28" s="5"/>
      <c r="J28" s="5"/>
      <c r="K28" s="5"/>
      <c r="L28" s="5"/>
      <c r="M28" s="5"/>
      <c r="N28" s="5"/>
      <c r="O28" s="5"/>
      <c r="P28" s="5"/>
      <c r="Q28"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48281603-0F0F-4CF3-A75C-264B2A6BF495}">
  <ds:schemaRefs/>
</ds:datastoreItem>
</file>

<file path=customXml/itemProps2.xml><?xml version="1.0" encoding="utf-8"?>
<ds:datastoreItem xmlns:ds="http://schemas.openxmlformats.org/officeDocument/2006/customXml" ds:itemID="{790072EB-0EBE-43B8-A485-53C00FE3AF34}">
  <ds:schemaRefs/>
</ds:datastoreItem>
</file>

<file path=customXml/itemProps3.xml><?xml version="1.0" encoding="utf-8"?>
<ds:datastoreItem xmlns:ds="http://schemas.openxmlformats.org/officeDocument/2006/customXml" ds:itemID="{D61BBBF3-9209-4C70-B941-91437F2F319D}">
  <ds:schemaRefs/>
</ds:datastoreItem>
</file>

<file path=customXml/itemProps4.xml><?xml version="1.0" encoding="utf-8"?>
<ds:datastoreItem xmlns:ds="http://schemas.openxmlformats.org/officeDocument/2006/customXml" ds:itemID="{37385496-6637-49CA-8B1E-0FF96AC028AD}">
  <ds:schemaRefs/>
</ds:datastoreItem>
</file>

<file path=customXml/itemProps5.xml><?xml version="1.0" encoding="utf-8"?>
<ds:datastoreItem xmlns:ds="http://schemas.openxmlformats.org/officeDocument/2006/customXml" ds:itemID="{DDBEC24E-A609-4B3A-9813-9E6B42205CB1}">
  <ds:schemaRefs/>
</ds:datastoreItem>
</file>

<file path=customXml/itemProps6.xml><?xml version="1.0" encoding="utf-8"?>
<ds:datastoreItem xmlns:ds="http://schemas.openxmlformats.org/officeDocument/2006/customXml" ds:itemID="{3D2D6296-81F7-452D-8DCB-C25D6C005366}">
  <ds:schemaRefs/>
</ds:datastoreItem>
</file>

<file path=customXml/itemProps7.xml><?xml version="1.0" encoding="utf-8"?>
<ds:datastoreItem xmlns:ds="http://schemas.openxmlformats.org/officeDocument/2006/customXml" ds:itemID="{0E8AC103-E453-415B-807D-D650D8B5CB1A}">
  <ds:schemaRefs/>
</ds:datastoreItem>
</file>

<file path=customXml/itemProps8.xml><?xml version="1.0" encoding="utf-8"?>
<ds:datastoreItem xmlns:ds="http://schemas.openxmlformats.org/officeDocument/2006/customXml" ds:itemID="{70470910-4DEF-4FA1-903B-2134AF0F5A08}">
  <ds:schemaRefs>
    <ds:schemaRef ds:uri="http://schemas.microsoft.com/DataMashup"/>
  </ds:schemaRefs>
</ds:datastoreItem>
</file>

<file path=customXml/itemProps9.xml><?xml version="1.0" encoding="utf-8"?>
<ds:datastoreItem xmlns:ds="http://schemas.openxmlformats.org/officeDocument/2006/customXml" ds:itemID="{0AA8ABE0-BDC4-4646-9203-9C4687C06580}">
  <ds:schemaRefs/>
</ds:datastoreItem>
</file>

<file path=customXml/itemProps10.xml><?xml version="1.0" encoding="utf-8"?>
<ds:datastoreItem xmlns:ds="http://schemas.openxmlformats.org/officeDocument/2006/customXml" ds:itemID="{328B12F8-191B-400C-A7D4-B4A7B0CCD67C}">
  <ds:schemaRefs/>
</ds:datastoreItem>
</file>

<file path=customXml/itemProps11.xml><?xml version="1.0" encoding="utf-8"?>
<ds:datastoreItem xmlns:ds="http://schemas.openxmlformats.org/officeDocument/2006/customXml" ds:itemID="{00929ADA-97A7-4669-832B-03329CE4EE9B}">
  <ds:schemaRefs/>
</ds:datastoreItem>
</file>

<file path=customXml/itemProps12.xml><?xml version="1.0" encoding="utf-8"?>
<ds:datastoreItem xmlns:ds="http://schemas.openxmlformats.org/officeDocument/2006/customXml" ds:itemID="{06F98A0B-9D80-489D-8F5D-2FE01C46954B}">
  <ds:schemaRefs/>
</ds:datastoreItem>
</file>

<file path=customXml/itemProps13.xml><?xml version="1.0" encoding="utf-8"?>
<ds:datastoreItem xmlns:ds="http://schemas.openxmlformats.org/officeDocument/2006/customXml" ds:itemID="{36B9073B-AEE1-40C8-8187-465B81466B13}">
  <ds:schemaRefs/>
</ds:datastoreItem>
</file>

<file path=customXml/itemProps14.xml><?xml version="1.0" encoding="utf-8"?>
<ds:datastoreItem xmlns:ds="http://schemas.openxmlformats.org/officeDocument/2006/customXml" ds:itemID="{5081D273-BBC8-4F67-95CC-68AE3C198734}">
  <ds:schemaRefs/>
</ds:datastoreItem>
</file>

<file path=customXml/itemProps15.xml><?xml version="1.0" encoding="utf-8"?>
<ds:datastoreItem xmlns:ds="http://schemas.openxmlformats.org/officeDocument/2006/customXml" ds:itemID="{C83B6CB4-39B7-47E4-89A1-62E067054A93}">
  <ds:schemaRefs/>
</ds:datastoreItem>
</file>

<file path=customXml/itemProps16.xml><?xml version="1.0" encoding="utf-8"?>
<ds:datastoreItem xmlns:ds="http://schemas.openxmlformats.org/officeDocument/2006/customXml" ds:itemID="{91745884-6513-473E-B92B-871BBB8497D1}">
  <ds:schemaRefs/>
</ds:datastoreItem>
</file>

<file path=customXml/itemProps17.xml><?xml version="1.0" encoding="utf-8"?>
<ds:datastoreItem xmlns:ds="http://schemas.openxmlformats.org/officeDocument/2006/customXml" ds:itemID="{98C227B7-A58C-4166-97AC-FF41AC01510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Average wait time dailt trends</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Arpit Badoni</dc:creator>
  <cp:lastModifiedBy>Arpit Badoni</cp:lastModifiedBy>
  <dcterms:created xsi:type="dcterms:W3CDTF">2026-01-29T02:14:51Z</dcterms:created>
  <dcterms:modified xsi:type="dcterms:W3CDTF">2026-02-01T11:07:48Z</dcterms:modified>
</cp:coreProperties>
</file>